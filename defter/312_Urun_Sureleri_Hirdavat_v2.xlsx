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kuyun" sheetId="1" state="visible" r:id="rId3"/>
    <sheet name="Ürün Süreleri" sheetId="2" state="visible" r:id="rId4"/>
    <sheet name="Ayak Süreleri" sheetId="3" state="visible" r:id="rId5"/>
    <sheet name="Hırdavat" sheetId="4" state="visible" r:id="rId6"/>
    <sheet name="Ahşap Parçalar" sheetId="5" state="visible" r:id="rId7"/>
    <sheet name="Sorular" sheetId="6" state="visible" r:id="rId8"/>
    <sheet name="Listel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7" authorId="0">
      <text>
        <r>
          <rPr>
            <sz val="10"/>
            <rFont val="Arial"/>
            <family val="2"/>
          </rPr>
          <t xml:space="preserve">Bkz. Sorular sayfası</t>
        </r>
      </text>
    </comment>
    <comment ref="A38" authorId="0">
      <text>
        <r>
          <rPr>
            <sz val="10"/>
            <rFont val="Arial"/>
            <family val="2"/>
          </rPr>
          <t xml:space="preserve">Bkz. Sorular sayfası</t>
        </r>
      </text>
    </comment>
  </commentList>
</comments>
</file>

<file path=xl/sharedStrings.xml><?xml version="1.0" encoding="utf-8"?>
<sst xmlns="http://schemas.openxmlformats.org/spreadsheetml/2006/main" count="1220" uniqueCount="430">
  <si>
    <t xml:space="preserve">312 · Ürün süreleri, ayak süreleri, hırdavat ve ahşap parça listesi — v2 (24.10.2026)</t>
  </si>
  <si>
    <t xml:space="preserve">Renkler:</t>
  </si>
  <si>
    <t xml:space="preserve">• MAVİ yazı = sizin girdiğiniz (veya kütüphanede kayıtlı) değer.</t>
  </si>
  <si>
    <t xml:space="preserve">• TURUNCU yazı = Claude tahmini. Kontrol edin, yanlışsa üzerine yazın (yazınca rengi önemli değil, sizin değeriniz geçerli olur).</t>
  </si>
  <si>
    <t xml:space="preserve">• YEŞİL yazı = kesim programından / kayıtlı çizimden kesin değer.</t>
  </si>
  <si>
    <t xml:space="preserve">• SARI dolgu = düzenlenebilir hücre. GRİ dolgu ve beyaz formüller = dokunmayın.</t>
  </si>
  <si>
    <t xml:space="preserve">v2'de ne değişti:</t>
  </si>
  <si>
    <t xml:space="preserve">• Yeni sayfa 'Ayak Süreleri': ayak süresi artık ürün satırına değil ayak modeline bağlı (sizin notunuz: Como/Tweety sehpa ayağı 15+30, masa ayağı 15+35). Ürün satırındaki 'Ayak süresi' formülle buradan × ayak adedi gelir.</t>
  </si>
  <si>
    <t xml:space="preserve">• 'Ürün Süreleri'ndeki zımpara/montaj = sadece tabla/gövde. Toplam = tabla/gövde + CNC + ayaklar.</t>
  </si>
  <si>
    <t xml:space="preserve">• 'Paket içeriği' sütunu eklendi → sipariş defterindeki yükleme listesi (Tabla ☐ Ayak ☐) buradan beslenecek.</t>
  </si>
  <si>
    <t xml:space="preserve">• 'Hırdavat' sayfası üç bölüm: (1) ürün gövdesi, (2) AYAK · model · tip (her ayak için — siparişte ayak adedi kadar çarpılır), (3) GENEL kurallar: her paket için ambalaj, LED kuralı.</t>
  </si>
  <si>
    <t xml:space="preserve">• Kapak kuralı (sizin notunuz): aşağı açılan kapak = 2 menteşe + 1 amortisör + 1 bas-aç; yana açılan bas-aç kapak = 2 menteşe + 1 bas-aç.</t>
  </si>
  <si>
    <t xml:space="preserve">• LED kuralı (sizin notunuz): üründe/notta 'LED' geçerse sistem LED şerit + trafo ekler ve kırmızı uyarı verir. Metre ölçüden hesaplanamıyorsa 'LED metre?' uyarısı çıkar.</t>
  </si>
  <si>
    <t xml:space="preserve">• 'Ahşap Parçalar' kesim programlarından ve kayıtlı çizimlerden dolduruldu (Rotterdam dresuar, Tivoli/Bergamo, Komu ayak, Bubble, Datça/Bugatti kalınlaştırma).</t>
  </si>
  <si>
    <t xml:space="preserve">Sizden teyit istediğim yerler 'Sorular' sayfasında.</t>
  </si>
  <si>
    <t xml:space="preserve">Bitince dosyayı geri gönderin: kütüphaneye işlenir; sipariş girilince hırdavat ihtiyacı ve iş süreleri otomatik hesaplanır.</t>
  </si>
  <si>
    <t xml:space="preserve">Ürün</t>
  </si>
  <si>
    <t xml:space="preserve">Kategori</t>
  </si>
  <si>
    <t xml:space="preserve">Malzeme</t>
  </si>
  <si>
    <t xml:space="preserve">Ölçü</t>
  </si>
  <si>
    <t xml:space="preserve">Paket (1 ürün)</t>
  </si>
  <si>
    <t xml:space="preserve">Paket içeriği (yükleme listesi)</t>
  </si>
  <si>
    <t xml:space="preserve">Zımpara — tabla/gövde (dk)</t>
  </si>
  <si>
    <t xml:space="preserve">Montaj — tabla/gövde (dk)</t>
  </si>
  <si>
    <t xml:space="preserve">CNC kesim — tabla/gövde (dk)</t>
  </si>
  <si>
    <t xml:space="preserve">Ayak modeli</t>
  </si>
  <si>
    <t xml:space="preserve">Ayak tipi</t>
  </si>
  <si>
    <t xml:space="preserve">Ayak adedi</t>
  </si>
  <si>
    <t xml:space="preserve">Ayak süresi (dk, formül)</t>
  </si>
  <si>
    <t xml:space="preserve">Toplam süre (dk / 1 ürün)</t>
  </si>
  <si>
    <t xml:space="preserve">Toplam (saat)</t>
  </si>
  <si>
    <t xml:space="preserve">Not</t>
  </si>
  <si>
    <t xml:space="preserve">Bonbon Dresuar</t>
  </si>
  <si>
    <t xml:space="preserve">Dresuar / konsol</t>
  </si>
  <si>
    <t xml:space="preserve">18 mm MDF</t>
  </si>
  <si>
    <t xml:space="preserve">En 150 D45 H90</t>
  </si>
  <si>
    <t xml:space="preserve">1 koli: gövde (kapaklar takılı)</t>
  </si>
  <si>
    <t xml:space="preserve">Ayak yok</t>
  </si>
  <si>
    <t xml:space="preserve">Sehpa</t>
  </si>
  <si>
    <t xml:space="preserve">CNC: ~1,5 plaka tahmini.</t>
  </si>
  <si>
    <t xml:space="preserve">Rotterdam Dresuar Yanlar Tweety Kapaklar Düz</t>
  </si>
  <si>
    <t xml:space="preserve">160x42 H90</t>
  </si>
  <si>
    <t xml:space="preserve">1 koli: gövde (ayaklar gövdeyle tek parça)</t>
  </si>
  <si>
    <t xml:space="preserve">120'lik program 10 dk/plaka; 160×90 ≈ 2 plaka + Tweety yan tarama.</t>
  </si>
  <si>
    <t xml:space="preserve">Tweety Çekmece Rotterdam Dresuar</t>
  </si>
  <si>
    <t xml:space="preserve">Hazır plaka (laminat)</t>
  </si>
  <si>
    <t xml:space="preserve">En 120</t>
  </si>
  <si>
    <t xml:space="preserve">1 koli: gövde + çekmeceler takılı</t>
  </si>
  <si>
    <t xml:space="preserve">Rotterdam dresuar 120 programı ~10 dk + çekmece tarama.</t>
  </si>
  <si>
    <t xml:space="preserve">Dörtdivan Duvar Paneli (Kertikli, LED'li)</t>
  </si>
  <si>
    <t xml:space="preserve">Duvar paneli</t>
  </si>
  <si>
    <t xml:space="preserve">En 380 H249</t>
  </si>
  <si>
    <t xml:space="preserve">1 koli: panel parçaları + LED seti</t>
  </si>
  <si>
    <t xml:space="preserve">380 cm &gt; 280 plaka → 2 program. LED metresi teyit.</t>
  </si>
  <si>
    <t xml:space="preserve">Bergamo Masa</t>
  </si>
  <si>
    <t xml:space="preserve">Masa</t>
  </si>
  <si>
    <t xml:space="preserve">Traverten</t>
  </si>
  <si>
    <t xml:space="preserve">190x100</t>
  </si>
  <si>
    <t xml:space="preserve">1: tabla · 2: 4 ayak + şapkalar</t>
  </si>
  <si>
    <t xml:space="preserve">Tivoli</t>
  </si>
  <si>
    <t xml:space="preserve">Tabla V91 ile 18→4 mm kenar. Tivoli programı tabla+şapka+disk 6,5 dk (kesin).</t>
  </si>
  <si>
    <t xml:space="preserve">Danish Oval Masa</t>
  </si>
  <si>
    <t xml:space="preserve">200x100</t>
  </si>
  <si>
    <t xml:space="preserve">1: tabla · 2: metal ayak</t>
  </si>
  <si>
    <t xml:space="preserve">Spider</t>
  </si>
  <si>
    <t xml:space="preserve">Datça Masa</t>
  </si>
  <si>
    <t xml:space="preserve">18 mm meşe kaplama</t>
  </si>
  <si>
    <t xml:space="preserve">54 mm kalınlaştırma: tabla + 2 kat 65 mm halka.</t>
  </si>
  <si>
    <t xml:space="preserve">Organik Bugatti Masa Camı 4mm</t>
  </si>
  <si>
    <t xml:space="preserve">Cam</t>
  </si>
  <si>
    <t xml:space="preserve">180x100 Organik</t>
  </si>
  <si>
    <t xml:space="preserve">1: cam (camcıdan)</t>
  </si>
  <si>
    <t xml:space="preserve">Camcı yapar — atölye süresi yok.</t>
  </si>
  <si>
    <t xml:space="preserve">Rotterdam Masa</t>
  </si>
  <si>
    <t xml:space="preserve">Fiscraat</t>
  </si>
  <si>
    <t xml:space="preserve">160x100</t>
  </si>
  <si>
    <t xml:space="preserve">Fiscraat: Artmob kesim + CNC iki geçiş.</t>
  </si>
  <si>
    <t xml:space="preserve">Rotterdam Masa Tablası</t>
  </si>
  <si>
    <t xml:space="preserve">Black beton</t>
  </si>
  <si>
    <t xml:space="preserve">170x100</t>
  </si>
  <si>
    <t xml:space="preserve">1: tabla</t>
  </si>
  <si>
    <t xml:space="preserve">Round Bugatti Masa</t>
  </si>
  <si>
    <t xml:space="preserve">Ø105</t>
  </si>
  <si>
    <t xml:space="preserve">1: tabla · 2: XL ayak</t>
  </si>
  <si>
    <t xml:space="preserve">XL Como</t>
  </si>
  <si>
    <t xml:space="preserve">Bugatti = 54 mm kalınlaştırma kabul edildi.</t>
  </si>
  <si>
    <t xml:space="preserve">Slim Bugatti Masa</t>
  </si>
  <si>
    <t xml:space="preserve">1: tabla · 2–3: ayaklar</t>
  </si>
  <si>
    <t xml:space="preserve">Tweety</t>
  </si>
  <si>
    <t xml:space="preserve">Slim Masa</t>
  </si>
  <si>
    <t xml:space="preserve">Ø100</t>
  </si>
  <si>
    <t xml:space="preserve">1: tabla · 2: ayak</t>
  </si>
  <si>
    <t xml:space="preserve">Babuşka Orta Sehpa</t>
  </si>
  <si>
    <t xml:space="preserve">Ø100 + Ø80</t>
  </si>
  <si>
    <t xml:space="preserve">1 koli: 2 tabla + metal ayak</t>
  </si>
  <si>
    <t xml:space="preserve">Babuşka</t>
  </si>
  <si>
    <t xml:space="preserve">Bergamo Orta Sehpa</t>
  </si>
  <si>
    <t xml:space="preserve">110x75</t>
  </si>
  <si>
    <t xml:space="preserve">Apollo</t>
  </si>
  <si>
    <t xml:space="preserve">Bonbon Tweety TV Sehpası</t>
  </si>
  <si>
    <t xml:space="preserve">1 koli: gövde</t>
  </si>
  <si>
    <t xml:space="preserve">Danish Oval Orta Sehpa</t>
  </si>
  <si>
    <t xml:space="preserve">140x70</t>
  </si>
  <si>
    <t xml:space="preserve">Lazy Top Sehpa</t>
  </si>
  <si>
    <t xml:space="preserve">Ø90 H40</t>
  </si>
  <si>
    <t xml:space="preserve">Tweens Tweety</t>
  </si>
  <si>
    <t xml:space="preserve">Ollie Orta Sehpa</t>
  </si>
  <si>
    <t xml:space="preserve">Ø90</t>
  </si>
  <si>
    <t xml:space="preserve">1 koli</t>
  </si>
  <si>
    <t xml:space="preserve">Rotterdam Orta Sehpa</t>
  </si>
  <si>
    <t xml:space="preserve">110x60 H45</t>
  </si>
  <si>
    <t xml:space="preserve">1: tabla · 2–3: 2 ayak</t>
  </si>
  <si>
    <t xml:space="preserve">Como</t>
  </si>
  <si>
    <t xml:space="preserve">Rotterdam = 54 mm haşon kenar.</t>
  </si>
  <si>
    <t xml:space="preserve">Rotterdam Orta Sehpa Tablası</t>
  </si>
  <si>
    <t xml:space="preserve">140x80</t>
  </si>
  <si>
    <t xml:space="preserve">Slim Bugatti Sehpa</t>
  </si>
  <si>
    <t xml:space="preserve">120x70</t>
  </si>
  <si>
    <t xml:space="preserve">Slim Orta Sehpa (2'li)</t>
  </si>
  <si>
    <t xml:space="preserve">Ø70 H40 + Ø55 H45</t>
  </si>
  <si>
    <t xml:space="preserve">1: Ø70 tabla · 2: Ø55 tabla · 3: 2 ayak</t>
  </si>
  <si>
    <t xml:space="preserve">Paket dağılımı tahmini.</t>
  </si>
  <si>
    <t xml:space="preserve">Slim Orta Sehpa Sadece Tabla</t>
  </si>
  <si>
    <t xml:space="preserve">Ø90 + Ø70</t>
  </si>
  <si>
    <t xml:space="preserve">1: Ø90 + Ø70 tabla</t>
  </si>
  <si>
    <t xml:space="preserve">Torino Orta Sehpa Set</t>
  </si>
  <si>
    <t xml:space="preserve">Standart</t>
  </si>
  <si>
    <t xml:space="preserve">1–3: 3 tabla · 4: 3 ayak</t>
  </si>
  <si>
    <t xml:space="preserve">Set: Como Ø60 H43 ×2 + Ø39 H38 ×1 (312-0008).</t>
  </si>
  <si>
    <t xml:space="preserve">Torino Yan Sehpa Tweety Ayak</t>
  </si>
  <si>
    <t xml:space="preserve">H45</t>
  </si>
  <si>
    <t xml:space="preserve">Aşağıdaki "H45" satırıyla aynı ürün — birleştirelim mi? (Sorular)</t>
  </si>
  <si>
    <t xml:space="preserve">Torino Yan Sehpa Tweety Ayak H45</t>
  </si>
  <si>
    <t xml:space="preserve">Winston Orta Sehpa</t>
  </si>
  <si>
    <t xml:space="preserve">130x90 H40</t>
  </si>
  <si>
    <t xml:space="preserve">Sineklik Cam 1</t>
  </si>
  <si>
    <t xml:space="preserve">Sineklik</t>
  </si>
  <si>
    <t xml:space="preserve">En 51,7 H132</t>
  </si>
  <si>
    <t xml:space="preserve">1</t>
  </si>
  <si>
    <t xml:space="preserve">Sineklik Emir yapar.</t>
  </si>
  <si>
    <t xml:space="preserve">Sineklik Cam 2</t>
  </si>
  <si>
    <t xml:space="preserve">En 64,5 H170,5</t>
  </si>
  <si>
    <t xml:space="preserve">Sineklik Cam 3</t>
  </si>
  <si>
    <t xml:space="preserve">En 65 H170,5</t>
  </si>
  <si>
    <t xml:space="preserve">Sineklik Kapı Ev Çıkış (Soldan Sağa Açılacak)</t>
  </si>
  <si>
    <t xml:space="preserve">En 99 H228,3</t>
  </si>
  <si>
    <t xml:space="preserve">Sineklik İkinci Mutfak (Soldan Sağa Açılacak)</t>
  </si>
  <si>
    <t xml:space="preserve">En 107 H228</t>
  </si>
  <si>
    <t xml:space="preserve">Angel TV Ünitesi 4 Kapak, Lazer TV Metal Ayak</t>
  </si>
  <si>
    <t xml:space="preserve">TV ünitesi</t>
  </si>
  <si>
    <t xml:space="preserve">En 250</t>
  </si>
  <si>
    <t xml:space="preserve">1 koli: gövde · ayaklar kutuda</t>
  </si>
  <si>
    <t xml:space="preserve">Lazer metal</t>
  </si>
  <si>
    <t xml:space="preserve">Taramalı yarım elips yanlar.</t>
  </si>
  <si>
    <t xml:space="preserve">Bonbon TV Ünitesi</t>
  </si>
  <si>
    <t xml:space="preserve">En 300</t>
  </si>
  <si>
    <t xml:space="preserve">300 cm &gt; 280 → iki programlı yöntem (plaka çevrilir).</t>
  </si>
  <si>
    <t xml:space="preserve">Dolap, Lazer TV Metal Ayak</t>
  </si>
  <si>
    <t xml:space="preserve">En 105 D45 H200</t>
  </si>
  <si>
    <t xml:space="preserve">1 koli: gövde + kapaklar · ayaklar kutuda</t>
  </si>
  <si>
    <t xml:space="preserve">Star TV Ünitesi Şömine 200cm</t>
  </si>
  <si>
    <t xml:space="preserve">En 128</t>
  </si>
  <si>
    <t xml:space="preserve">Ölçü En128 yazıyor ama adı 200cm — aşağıdakiyle karışmış olabilir (Sorular).</t>
  </si>
  <si>
    <t xml:space="preserve">Star TV Ünitesi Şömineli</t>
  </si>
  <si>
    <t xml:space="preserve">En 200</t>
  </si>
  <si>
    <t xml:space="preserve">Dimplex 128 cm şömineye göre; Fiscraat iki geçiş.</t>
  </si>
  <si>
    <t xml:space="preserve">Sizin notlarınız (Ayak Süreleri sayfasına işlendi):</t>
  </si>
  <si>
    <t xml:space="preserve">ayaklar için como ayak tüm çaplarda h38 43 48 için zımpara meşe mdf için 15dakika montaj edet 30dakika masa için zımpara 15dakika montaj 35dakika</t>
  </si>
  <si>
    <t xml:space="preserve">ayaklar için tweety ayak tüm çaplarda h38 43 48 için zımpara meşe mdf için 15dakika montaj edet 30dakika masa için zımpara 15dakika montaj 35dakika</t>
  </si>
  <si>
    <t xml:space="preserve">Tip</t>
  </si>
  <si>
    <t xml:space="preserve">Ölçü aralığı</t>
  </si>
  <si>
    <t xml:space="preserve">Zımpara (dk / 1 ayak)</t>
  </si>
  <si>
    <t xml:space="preserve">Montaj (dk / 1 ayak)</t>
  </si>
  <si>
    <t xml:space="preserve">CNC kesim (dk / 1 ayak)</t>
  </si>
  <si>
    <t xml:space="preserve">Toplam (dk / 1 ayak)</t>
  </si>
  <si>
    <t xml:space="preserve">Kaynak</t>
  </si>
  <si>
    <t xml:space="preserve">Ø29–64, H38/43/48</t>
  </si>
  <si>
    <t xml:space="preserve">18 mm MDF / meşe</t>
  </si>
  <si>
    <t xml:space="preserve">Murat / CNC: Claude tahmini</t>
  </si>
  <si>
    <t xml:space="preserve">Murat: tüm çaplarda aynı süre. CNC: tarama panel + 2 kapak (fire plakadan).</t>
  </si>
  <si>
    <t xml:space="preserve">Ø39–60, H73</t>
  </si>
  <si>
    <t xml:space="preserve">Panel 1233 + 2×Ø390 kapak + 4 çeyrek yay şapka.</t>
  </si>
  <si>
    <t xml:space="preserve">H73</t>
  </si>
  <si>
    <t xml:space="preserve">Claude tahmini / CNC: Claude tahmini</t>
  </si>
  <si>
    <t xml:space="preserve">Como masadan büyük; süreler tahmin.</t>
  </si>
  <si>
    <t xml:space="preserve">Murat: Como ile aynı.</t>
  </si>
  <si>
    <t xml:space="preserve">2 kolon birleşik</t>
  </si>
  <si>
    <t xml:space="preserve">İki kolonlu ayak; tek Tweety × 1,4 tahmini.</t>
  </si>
  <si>
    <t xml:space="preserve">Ø10 (≈Ø106 dış), H73</t>
  </si>
  <si>
    <t xml:space="preserve">18 mm MDF + 8 mm tarama</t>
  </si>
  <si>
    <t xml:space="preserve">Claude tahmini / CNC: Program / hafıza (kesin)</t>
  </si>
  <si>
    <t xml:space="preserve">Cannelé: 3 disk Ø90 + elde çıtalar + 8 mm Tweety tarama sarma + Ø150 şapka. Çıta kesimi elde → montaj uzun.</t>
  </si>
  <si>
    <t xml:space="preserve">Torino</t>
  </si>
  <si>
    <t xml:space="preserve">H38/43/48</t>
  </si>
  <si>
    <t xml:space="preserve">18 mm meşe</t>
  </si>
  <si>
    <t xml:space="preserve">Como ile aynı kabul edildi.</t>
  </si>
  <si>
    <t xml:space="preserve">Standart / ölçülü</t>
  </si>
  <si>
    <t xml:space="preserve">Bubble konik</t>
  </si>
  <si>
    <t xml:space="preserve">Ø548/305 H714</t>
  </si>
  <si>
    <t xml:space="preserve">Gönye burun; hedef işçiliksiz oturma. Program denenince güncellenecek.</t>
  </si>
  <si>
    <t xml:space="preserve">Ø498/298 H382, Ø348/198 H432</t>
  </si>
  <si>
    <t xml:space="preserve">Metal (Özbulut)</t>
  </si>
  <si>
    <t xml:space="preserve">Claude tahmini / CNC: Tedarikçi</t>
  </si>
  <si>
    <t xml:space="preserve">Metal hazır gelir; montaj = tablaya takma + kontrol.</t>
  </si>
  <si>
    <t xml:space="preserve">H38–48</t>
  </si>
  <si>
    <t xml:space="preserve">Milano Spider</t>
  </si>
  <si>
    <t xml:space="preserve">Designer</t>
  </si>
  <si>
    <t xml:space="preserve">Ø90 H40 / Ø68 H36</t>
  </si>
  <si>
    <t xml:space="preserve">—</t>
  </si>
  <si>
    <t xml:space="preserve">Ø/H ölçüsü henüz yok.</t>
  </si>
  <si>
    <t xml:space="preserve">H15</t>
  </si>
  <si>
    <t xml:space="preserve">TV ünitesi/dolap ayağı. Tip "Sehpa" = masa dışı tüm ürünler.</t>
  </si>
  <si>
    <t xml:space="preserve">Formül için boş satır.</t>
  </si>
  <si>
    <t xml:space="preserve">Ürün / ayak / kural</t>
  </si>
  <si>
    <t xml:space="preserve">Hırdavat</t>
  </si>
  <si>
    <t xml:space="preserve">Miktar (1 ürün / 1 ayak / 1 paket)</t>
  </si>
  <si>
    <t xml:space="preserve">Birim</t>
  </si>
  <si>
    <t xml:space="preserve">Hesap kuralı</t>
  </si>
  <si>
    <t xml:space="preserve">1) ÜRÜN GÖVDESİ — 1 ürün için (ayak bağlantısı burada değil, 2. bölümde)</t>
  </si>
  <si>
    <t xml:space="preserve">Menteşe</t>
  </si>
  <si>
    <t xml:space="preserve">adet</t>
  </si>
  <si>
    <t xml:space="preserve">Aşağı açılan kapak başı 2</t>
  </si>
  <si>
    <t xml:space="preserve">Murat</t>
  </si>
  <si>
    <t xml:space="preserve">Murat: 4 kapaklı tasarım; kapak sayısına göre değişir</t>
  </si>
  <si>
    <t xml:space="preserve">Amortisör</t>
  </si>
  <si>
    <t xml:space="preserve">Aşağı açılan kapak başı 1</t>
  </si>
  <si>
    <t xml:space="preserve">Bas-aç (push)</t>
  </si>
  <si>
    <t xml:space="preserve">Kapak başı 1</t>
  </si>
  <si>
    <t xml:space="preserve">Keçe (ayak altı)</t>
  </si>
  <si>
    <t xml:space="preserve">Claude tahmini</t>
  </si>
  <si>
    <t xml:space="preserve">Zemine oturuyorsa; duvara asılıysa askı kancası</t>
  </si>
  <si>
    <t xml:space="preserve">Yana açılan kapak başı 2</t>
  </si>
  <si>
    <t xml:space="preserve">150 cm → 4 kapak varsayıldı</t>
  </si>
  <si>
    <t xml:space="preserve">Kütüphane</t>
  </si>
  <si>
    <t xml:space="preserve">Kütüphanede kayıtlı</t>
  </si>
  <si>
    <t xml:space="preserve">Çekmece rayı</t>
  </si>
  <si>
    <t xml:space="preserve">çift</t>
  </si>
  <si>
    <t xml:space="preserve">Çekmece başı 1 çift (Samet 350)</t>
  </si>
  <si>
    <t xml:space="preserve">Kütüphanede "2 adet" yazıyordu → 2 çekmece = 2 çift</t>
  </si>
  <si>
    <t xml:space="preserve">Vida 4x16</t>
  </si>
  <si>
    <t xml:space="preserve">Ray çifti başı 12</t>
  </si>
  <si>
    <t xml:space="preserve">LED şerit</t>
  </si>
  <si>
    <t xml:space="preserve">m</t>
  </si>
  <si>
    <t xml:space="preserve">Panel eni × 2 (tahmin)</t>
  </si>
  <si>
    <t xml:space="preserve">LED metresi teyit — kertik başına mı, üst/alt mı?</t>
  </si>
  <si>
    <t xml:space="preserve">LED trafo</t>
  </si>
  <si>
    <t xml:space="preserve">8 m'ye kadar 1 (60 W)</t>
  </si>
  <si>
    <t xml:space="preserve">LED bağlantı seti (kablo + konnektör)</t>
  </si>
  <si>
    <t xml:space="preserve">takım</t>
  </si>
  <si>
    <t xml:space="preserve">Duvar dübeli + vida 6x60</t>
  </si>
  <si>
    <t xml:space="preserve">Cam altı şeffaf tampon</t>
  </si>
  <si>
    <t xml:space="preserve">Cam tabla üstünde kaymasın</t>
  </si>
  <si>
    <t xml:space="preserve">Yapıştırıcı / tutkal</t>
  </si>
  <si>
    <t xml:space="preserve">kg</t>
  </si>
  <si>
    <t xml:space="preserve">54 mm kalınlaştırma</t>
  </si>
  <si>
    <t xml:space="preserve">Haşon gönye</t>
  </si>
  <si>
    <t xml:space="preserve">Tabla başı 4 (metal çerçeveye)</t>
  </si>
  <si>
    <t xml:space="preserve">Kalkar kapak mekanizması</t>
  </si>
  <si>
    <t xml:space="preserve">Kütüphanede kayıtlı (4 kapak için 8 olmalı mı? Sorular)</t>
  </si>
  <si>
    <t xml:space="preserve">H200 kapak başı 3 (2 kapak)</t>
  </si>
  <si>
    <t xml:space="preserve">Raf pimi</t>
  </si>
  <si>
    <t xml:space="preserve">Raf başı 4</t>
  </si>
  <si>
    <t xml:space="preserve">4 raf varsayıldı</t>
  </si>
  <si>
    <t xml:space="preserve">Kulp</t>
  </si>
  <si>
    <t xml:space="preserve">Bas-aç ise kulp yerine 2 bas-aç</t>
  </si>
  <si>
    <t xml:space="preserve">Kablo geçiş rozeti</t>
  </si>
  <si>
    <t xml:space="preserve">— (tedarikçi dahil)</t>
  </si>
  <si>
    <t xml:space="preserve">Tedarikçi</t>
  </si>
  <si>
    <t xml:space="preserve">Sineklik Emir komple getirir</t>
  </si>
  <si>
    <t xml:space="preserve">2) AYAK — 1 ayak için. Siparişte ayak adedi × ürün adedi ile çarpılır. Ürün sütununa "AYAK · model · tip" yazılır.</t>
  </si>
  <si>
    <t xml:space="preserve">AYAK · Como · Masa</t>
  </si>
  <si>
    <t xml:space="preserve">Kavela (dübel)</t>
  </si>
  <si>
    <t xml:space="preserve">Tabla altı Ø10×14, 430 baklava (yuvarlakta Ø640)</t>
  </si>
  <si>
    <t xml:space="preserve">Program / hafıza (kesin)</t>
  </si>
  <si>
    <t xml:space="preserve">Ayak bağlantı civatası M8</t>
  </si>
  <si>
    <t xml:space="preserve">Şapka deliğinden</t>
  </si>
  <si>
    <t xml:space="preserve">Pul (geniş) M8</t>
  </si>
  <si>
    <t xml:space="preserve">Vida 4x30</t>
  </si>
  <si>
    <t xml:space="preserve">Çeyrek yay şapka → ayak</t>
  </si>
  <si>
    <t xml:space="preserve">AYAK · Como · Sehpa</t>
  </si>
  <si>
    <t xml:space="preserve">Vida 4x40</t>
  </si>
  <si>
    <t xml:space="preserve">Kapaktaki Ø8 tam delikten tablaya (310 baklava; Ø29: 210)</t>
  </si>
  <si>
    <t xml:space="preserve">AYAK · XL Como · Masa</t>
  </si>
  <si>
    <t xml:space="preserve">Ø10×14, 400 baklava (XL DXF)</t>
  </si>
  <si>
    <t xml:space="preserve">AYAK · Tweety · Masa</t>
  </si>
  <si>
    <t xml:space="preserve">Slim Bugatti kaydından: 2 ayak = 8</t>
  </si>
  <si>
    <t xml:space="preserve">AYAK · Tweety · Sehpa</t>
  </si>
  <si>
    <t xml:space="preserve">Slim Bugatti sehpa kaydından</t>
  </si>
  <si>
    <t xml:space="preserve">Como sehpada vida — hangisi doğru? (Sorular)</t>
  </si>
  <si>
    <t xml:space="preserve">AYAK · Tweens Tweety · Sehpa</t>
  </si>
  <si>
    <t xml:space="preserve">AYAK · Tivoli · Masa</t>
  </si>
  <si>
    <t xml:space="preserve">Tabla altı Ø10×14, Ø128 daire 45°</t>
  </si>
  <si>
    <t xml:space="preserve">Ayak bağlantı civatası M6</t>
  </si>
  <si>
    <t xml:space="preserve">M6 varsayıldı — teyit (M6/M8)</t>
  </si>
  <si>
    <t xml:space="preserve">Pul (geniş) M6</t>
  </si>
  <si>
    <t xml:space="preserve">Şapka → disk (tutkal + vida)</t>
  </si>
  <si>
    <t xml:space="preserve">Disk + çıta + tarama</t>
  </si>
  <si>
    <t xml:space="preserve">Ø90 tek keçe</t>
  </si>
  <si>
    <t xml:space="preserve">AYAK · Torino · Sehpa</t>
  </si>
  <si>
    <t xml:space="preserve">AYAK · Apollo · Sehpa</t>
  </si>
  <si>
    <t xml:space="preserve">Taban plakası yok — direkt yere basar</t>
  </si>
  <si>
    <t xml:space="preserve">AYAK · Apollo · Masa</t>
  </si>
  <si>
    <t xml:space="preserve">430 baklava</t>
  </si>
  <si>
    <t xml:space="preserve">AYAK · Bubble konik · Masa</t>
  </si>
  <si>
    <t xml:space="preserve">Ø10×14, 400 baklava</t>
  </si>
  <si>
    <t xml:space="preserve">Üst tablada Ø8 tam delik</t>
  </si>
  <si>
    <t xml:space="preserve">Gönye burun dolgu</t>
  </si>
  <si>
    <t xml:space="preserve">AYAK · Bubble konik · Sehpa</t>
  </si>
  <si>
    <t xml:space="preserve">Tablada Ø3×12 kılavuz delik</t>
  </si>
  <si>
    <t xml:space="preserve">AYAK · Spider · Masa</t>
  </si>
  <si>
    <t xml:space="preserve">Vida 5x30</t>
  </si>
  <si>
    <t xml:space="preserve">Metal plaka → tabla</t>
  </si>
  <si>
    <t xml:space="preserve">AYAK · Spider · Sehpa</t>
  </si>
  <si>
    <t xml:space="preserve">AYAK · Milano Spider · Masa</t>
  </si>
  <si>
    <t xml:space="preserve">AYAK · Milano Spider · Sehpa</t>
  </si>
  <si>
    <t xml:space="preserve">AYAK · Designer · Sehpa</t>
  </si>
  <si>
    <t xml:space="preserve">AYAK · Babuşka · Sehpa</t>
  </si>
  <si>
    <t xml:space="preserve">AYAK · Lazer metal · Sehpa</t>
  </si>
  <si>
    <t xml:space="preserve">3) GENEL KURALLAR — sistem otomatik uygular</t>
  </si>
  <si>
    <t xml:space="preserve">HER PAKET</t>
  </si>
  <si>
    <t xml:space="preserve">Ambalaj karton</t>
  </si>
  <si>
    <t xml:space="preserve">Paket başı</t>
  </si>
  <si>
    <t xml:space="preserve">Strafor köşe</t>
  </si>
  <si>
    <t xml:space="preserve">Streç film</t>
  </si>
  <si>
    <t xml:space="preserve">Koli bandı</t>
  </si>
  <si>
    <t xml:space="preserve">LED VARSA</t>
  </si>
  <si>
    <t xml:space="preserve">Ürün eni × 2 (ölçüden); bulunamazsa "LED metre?" uyarısı</t>
  </si>
  <si>
    <t xml:space="preserve">Murat: siparişte LED gördüğün yerde işle ve ikaz et</t>
  </si>
  <si>
    <t xml:space="preserve">8 m'ye kadar 1</t>
  </si>
  <si>
    <t xml:space="preserve">KAPAK KURALI</t>
  </si>
  <si>
    <t xml:space="preserve">Kapak başı (H&gt;150 ise 3)</t>
  </si>
  <si>
    <t xml:space="preserve">Bonbon TV notundan</t>
  </si>
  <si>
    <t xml:space="preserve">Sadece aşağı açılan kapak</t>
  </si>
  <si>
    <t xml:space="preserve">Kapak başı</t>
  </si>
  <si>
    <t xml:space="preserve">Parça adı</t>
  </si>
  <si>
    <t xml:space="preserve">En / Ø (mm)</t>
  </si>
  <si>
    <t xml:space="preserve">Boy (mm)</t>
  </si>
  <si>
    <t xml:space="preserve">Kalınlık (mm)</t>
  </si>
  <si>
    <t xml:space="preserve">Adet (1 ürün için)</t>
  </si>
  <si>
    <t xml:space="preserve">ÖRNEK · Datça Masa</t>
  </si>
  <si>
    <t xml:space="preserve">Tabla</t>
  </si>
  <si>
    <t xml:space="preserve">Örnek — Murat 54 mm düzeltti (18 + 2 kat halka)</t>
  </si>
  <si>
    <t xml:space="preserve">tek parça</t>
  </si>
  <si>
    <t xml:space="preserve">Murat: tek parça (gövde montajlı gider). Parça listesi kesim programı çıkınca eklenir.</t>
  </si>
  <si>
    <t xml:space="preserve">Tabla (oval)</t>
  </si>
  <si>
    <t xml:space="preserve">Traverten (Starwood)</t>
  </si>
  <si>
    <t xml:space="preserve">Murat: tabla. Alttan V91 ile kenar 4 mm'ye inceltilir (Tivoli programı)</t>
  </si>
  <si>
    <t xml:space="preserve">Rotterdam Dresuar 120 (program REF)</t>
  </si>
  <si>
    <t xml:space="preserve">Bacak dış</t>
  </si>
  <si>
    <t xml:space="preserve">54 mm kutu, tüm kenarlar gönye (V91). ROTTERDAM_DRESUAR_120x40x80.anc</t>
  </si>
  <si>
    <t xml:space="preserve">Bacak iç</t>
  </si>
  <si>
    <t xml:space="preserve">Bacak şerit A/B (45° uçlu, ayna)</t>
  </si>
  <si>
    <t xml:space="preserve">Üst</t>
  </si>
  <si>
    <t xml:space="preserve">Tavan</t>
  </si>
  <si>
    <t xml:space="preserve">Üst şerit</t>
  </si>
  <si>
    <t xml:space="preserve">Tavan şerit</t>
  </si>
  <si>
    <t xml:space="preserve">Raf</t>
  </si>
  <si>
    <t xml:space="preserve">26 mm geride</t>
  </si>
  <si>
    <t xml:space="preserve">Arkalık</t>
  </si>
  <si>
    <t xml:space="preserve">Ara bölme</t>
  </si>
  <si>
    <t xml:space="preserve">Klapa (çekmece ön)</t>
  </si>
  <si>
    <t xml:space="preserve">8 mm cepli, üstüne 8 mm Tweety tarama yapışır</t>
  </si>
  <si>
    <t xml:space="preserve">Çekmece yan</t>
  </si>
  <si>
    <t xml:space="preserve">9 mm kanal, alttan 9–18 mm, 8 derin</t>
  </si>
  <si>
    <t xml:space="preserve">Çekmece ön/arka</t>
  </si>
  <si>
    <t xml:space="preserve">Çekmece tabanı</t>
  </si>
  <si>
    <t xml:space="preserve">8 mm MDF</t>
  </si>
  <si>
    <t xml:space="preserve">Ayrı malzeme</t>
  </si>
  <si>
    <t xml:space="preserve">Tivoli ayak (Cannelé) — 1 ayak</t>
  </si>
  <si>
    <t xml:space="preserve">Disk Ø90</t>
  </si>
  <si>
    <t xml:space="preserve">Alt / orta / üst</t>
  </si>
  <si>
    <t xml:space="preserve">Şapka Ø150</t>
  </si>
  <si>
    <t xml:space="preserve">Ø10 cıvata delikleri, havşa</t>
  </si>
  <si>
    <t xml:space="preserve">Tweety tarama panel</t>
  </si>
  <si>
    <t xml:space="preserve">Mevcut Tweety programıyla</t>
  </si>
  <si>
    <t xml:space="preserve">Çıta (elde)</t>
  </si>
  <si>
    <t xml:space="preserve">Adet/ölçü elde — kaç adet? (Sorular)</t>
  </si>
  <si>
    <t xml:space="preserve">Como masa ayağı — 1 ayak</t>
  </si>
  <si>
    <t xml:space="preserve">Tarama panel</t>
  </si>
  <si>
    <t xml:space="preserve">Panel boyu 1233 sabit; yükseklik teyit (Sorular)</t>
  </si>
  <si>
    <t xml:space="preserve">Kapak Ø390 (dolu disk)</t>
  </si>
  <si>
    <t xml:space="preserve">Alt + üst, ara halka yok</t>
  </si>
  <si>
    <t xml:space="preserve">Çeyrek yay (şapka)</t>
  </si>
  <si>
    <t xml:space="preserve">Ø8 tam delik, fireden</t>
  </si>
  <si>
    <t xml:space="preserve">Como sehpa ayağı Ø39 — 1 ayak</t>
  </si>
  <si>
    <t xml:space="preserve">H 382 / 432 / 482 — panel yüksekliği teyit</t>
  </si>
  <si>
    <t xml:space="preserve">Kapak Ø390</t>
  </si>
  <si>
    <t xml:space="preserve">4×Ø8 tam delik, 310 baklava</t>
  </si>
  <si>
    <t xml:space="preserve">Bubble masa ayağı — 1 ayak</t>
  </si>
  <si>
    <t xml:space="preserve">Konik panel (açınım)</t>
  </si>
  <si>
    <t xml:space="preserve">Ø548,7 / Ø305,4, eğim 9,67° — BUBBLE_P1_REV</t>
  </si>
  <si>
    <t xml:space="preserve">Üst tabla Ø548,7</t>
  </si>
  <si>
    <t xml:space="preserve">4×Ø8 tam delik, 400 baklava</t>
  </si>
  <si>
    <t xml:space="preserve">Dar uç kapak Ø305,4</t>
  </si>
  <si>
    <t xml:space="preserve">V91 gönye</t>
  </si>
  <si>
    <t xml:space="preserve">Bubble masa (deneme seti)</t>
  </si>
  <si>
    <t xml:space="preserve">Tabla Ø1200</t>
  </si>
  <si>
    <t xml:space="preserve">V91 14 mm inceltme</t>
  </si>
  <si>
    <t xml:space="preserve">Bubble büyük sehpa ayağı</t>
  </si>
  <si>
    <t xml:space="preserve">Ø497,7 / Ø297,8, eğim 14,66°</t>
  </si>
  <si>
    <t xml:space="preserve">Bubble küçük sehpa ayağı</t>
  </si>
  <si>
    <t xml:space="preserve">Ø348 / Ø198, eğim 9,85°</t>
  </si>
  <si>
    <t xml:space="preserve">Bubble sehpa (deneme seti)</t>
  </si>
  <si>
    <t xml:space="preserve">Tabla Ø900 + Ø700</t>
  </si>
  <si>
    <t xml:space="preserve">Ø700 ayrıca 1 adet</t>
  </si>
  <si>
    <t xml:space="preserve">Ölçü siparişe göre</t>
  </si>
  <si>
    <t xml:space="preserve">Kalınlaştırma halkası (2 kat)</t>
  </si>
  <si>
    <t xml:space="preserve">65 mm genişlik, çevre boyunca parçalı; 18+18+18 = 54</t>
  </si>
  <si>
    <t xml:space="preserve">Bugatti Orta Sehpa</t>
  </si>
  <si>
    <t xml:space="preserve">Kenar 3 kat → 54 mm</t>
  </si>
  <si>
    <t xml:space="preserve">Kalınlaştırma şeridi (2 kat)</t>
  </si>
  <si>
    <t xml:space="preserve">Genişlik Datça ile aynı varsayıldı</t>
  </si>
  <si>
    <t xml:space="preserve">#</t>
  </si>
  <si>
    <t xml:space="preserve">Soru</t>
  </si>
  <si>
    <t xml:space="preserve">Cevabınız</t>
  </si>
  <si>
    <t xml:space="preserve">Torino Yan Sehpa Tweety Ayak (Ø39 H43) ve "… H45" kütüphanede iki ayrı ürün. Tek ürün yapıp H'yi siparişte seçelim mi?</t>
  </si>
  <si>
    <t xml:space="preserve">"Star TV Ünitesi Şömine 200cm" ölçüsü En128, "Star TV Ünitesi Şömineli" En200 + not "128cm dimplex şömineye göre". Biri şömine nişi mi, yoksa ikisi aynı ürün mü?</t>
  </si>
  <si>
    <t xml:space="preserve">Tweety SEHPA ayağı tablaya nasıl bağlanıyor: Slim Bugatti sehpa kaydında dübel + M8 civata var, Como sehpada kapaktan vida geçiyor. Tweety sehpa için hangisi?</t>
  </si>
  <si>
    <t xml:space="preserve">Tivoli/Cannelé ayakta elde kesilen çıta kaç adet ve ölçüsü ne? Cıvata M6 mı M8 mi?</t>
  </si>
  <si>
    <t xml:space="preserve">Como ayak tarama panelinin yüksekliği = ayak H mı, yoksa H − 36 (kapaklar panelin üstünde) mı?</t>
  </si>
  <si>
    <t xml:space="preserve">Angel TV 4 kapak ama kütüphanede 6 menteşe + 3 amortisör yazıyor. 3 kapak aşağı açılır + 1 sabit mi? Değilse 8 menteşe + 4 amortisör yapalım.</t>
  </si>
  <si>
    <t xml:space="preserve">Dörtdivan paneli: LED kaç metre? (Tahmin: panel eni × 2 = 7,6 m)</t>
  </si>
  <si>
    <t xml:space="preserve">Bonbon dresuar 150 cm kaç kapak? (4 varsaydım)</t>
  </si>
  <si>
    <t xml:space="preserve">Babuşka metal ayak Ø/H ölçüsü?</t>
  </si>
  <si>
    <t xml:space="preserve">Ambalaj miktarları (karton, strafor köşe, streç, bant) paket başı doğru mu?</t>
  </si>
  <si>
    <t xml:space="preserve">Ürünler</t>
  </si>
  <si>
    <t xml:space="preserve">m²</t>
  </si>
  <si>
    <t xml:space="preserve">paket</t>
  </si>
  <si>
    <t xml:space="preserve">plaka</t>
  </si>
  <si>
    <t xml:space="preserve">rulo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</si>
</sst>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C55A11"/>
      <name val="Arial"/>
      <family val="0"/>
      <charset val="1"/>
    </font>
    <font>
      <sz val="10"/>
      <color rgb="FF00803C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C55A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808080"/>
      <name val="Arial"/>
      <family val="0"/>
      <charset val="1"/>
    </font>
    <font>
      <sz val="10"/>
      <name val="Arial"/>
      <family val="2"/>
    </font>
    <font>
      <sz val="11"/>
      <color rgb="FF00803C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7E6E6"/>
        <bgColor rgb="FFDDEBF7"/>
      </patternFill>
    </fill>
    <fill>
      <patternFill patternType="solid">
        <fgColor rgb="FFFFF2CC"/>
        <bgColor rgb="FFE7E6E6"/>
      </patternFill>
    </fill>
    <fill>
      <patternFill patternType="solid">
        <fgColor rgb="FFDDEBF7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3C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</row>
    <row r="5" customFormat="false" ht="15" hidden="false" customHeight="false" outlineLevel="0" collapsed="false">
      <c r="A5" s="5" t="s">
        <v>4</v>
      </c>
    </row>
    <row r="6" customFormat="false" ht="15" hidden="false" customHeight="false" outlineLevel="0" collapsed="false">
      <c r="A6" s="6" t="s">
        <v>5</v>
      </c>
    </row>
    <row r="7" customFormat="false" ht="15" hidden="false" customHeight="false" outlineLevel="0" collapsed="false">
      <c r="A7" s="6"/>
    </row>
    <row r="8" customFormat="false" ht="15" hidden="false" customHeight="false" outlineLevel="0" collapsed="false">
      <c r="A8" s="2" t="s">
        <v>6</v>
      </c>
    </row>
    <row r="9" customFormat="false" ht="23.85" hidden="false" customHeight="false" outlineLevel="0" collapsed="false">
      <c r="A9" s="6" t="s">
        <v>7</v>
      </c>
    </row>
    <row r="10" customFormat="false" ht="15" hidden="false" customHeight="false" outlineLevel="0" collapsed="false">
      <c r="A10" s="6" t="s">
        <v>8</v>
      </c>
    </row>
    <row r="11" customFormat="false" ht="15" hidden="false" customHeight="false" outlineLevel="0" collapsed="false">
      <c r="A11" s="6" t="s">
        <v>9</v>
      </c>
    </row>
    <row r="12" customFormat="false" ht="23.85" hidden="false" customHeight="false" outlineLevel="0" collapsed="false">
      <c r="A12" s="6" t="s">
        <v>10</v>
      </c>
    </row>
    <row r="13" customFormat="false" ht="15" hidden="false" customHeight="false" outlineLevel="0" collapsed="false">
      <c r="A13" s="6" t="s">
        <v>11</v>
      </c>
    </row>
    <row r="14" customFormat="false" ht="23.85" hidden="false" customHeight="false" outlineLevel="0" collapsed="false">
      <c r="A14" s="6" t="s">
        <v>12</v>
      </c>
    </row>
    <row r="15" customFormat="false" ht="23.85" hidden="false" customHeight="false" outlineLevel="0" collapsed="false">
      <c r="A15" s="6" t="s">
        <v>13</v>
      </c>
    </row>
    <row r="16" customFormat="false" ht="15" hidden="false" customHeight="false" outlineLevel="0" collapsed="false">
      <c r="A16" s="6"/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6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9" min="7" style="0" width="12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4" min="13" style="0" width="12"/>
    <col collapsed="false" customWidth="true" hidden="false" outlineLevel="0" max="15" min="15" style="0" width="9"/>
    <col collapsed="false" customWidth="true" hidden="false" outlineLevel="0" max="16" min="16" style="0" width="55"/>
  </cols>
  <sheetData>
    <row r="1" customFormat="false" ht="31.5" hidden="false" customHeight="true" outlineLevel="0" collapsed="false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</row>
    <row r="2" customFormat="false" ht="15" hidden="false" customHeight="false" outlineLevel="0" collapsed="false">
      <c r="A2" s="8" t="s">
        <v>32</v>
      </c>
      <c r="B2" s="8" t="s">
        <v>33</v>
      </c>
      <c r="C2" s="8" t="s">
        <v>34</v>
      </c>
      <c r="D2" s="8" t="s">
        <v>35</v>
      </c>
      <c r="E2" s="8" t="n">
        <v>1</v>
      </c>
      <c r="F2" s="9" t="s">
        <v>36</v>
      </c>
      <c r="G2" s="10" t="n">
        <v>20</v>
      </c>
      <c r="H2" s="10" t="n">
        <v>60</v>
      </c>
      <c r="I2" s="9" t="n">
        <v>22</v>
      </c>
      <c r="J2" s="9" t="s">
        <v>37</v>
      </c>
      <c r="K2" s="9" t="s">
        <v>38</v>
      </c>
      <c r="L2" s="9" t="n">
        <v>0</v>
      </c>
      <c r="M2" s="8" t="n">
        <f aca="false">L2*SUMIFS('Ayak Süreleri'!$H$2:$H$200,'Ayak Süreleri'!$A$2:$A$200,J2,'Ayak Süreleri'!$B$2:$B$200,K2)</f>
        <v>0</v>
      </c>
      <c r="N2" s="11" t="n">
        <f aca="false">SUM(G2:I2)+M2</f>
        <v>102</v>
      </c>
      <c r="O2" s="8" t="n">
        <f aca="false">ROUND(N2/60,1)</f>
        <v>1.7</v>
      </c>
      <c r="P2" s="12" t="s">
        <v>39</v>
      </c>
    </row>
    <row r="3" customFormat="false" ht="26.85" hidden="false" customHeight="false" outlineLevel="0" collapsed="false">
      <c r="A3" s="8" t="s">
        <v>40</v>
      </c>
      <c r="B3" s="8" t="s">
        <v>33</v>
      </c>
      <c r="C3" s="8" t="s">
        <v>34</v>
      </c>
      <c r="D3" s="8" t="s">
        <v>41</v>
      </c>
      <c r="E3" s="8" t="n">
        <v>1</v>
      </c>
      <c r="F3" s="9" t="s">
        <v>42</v>
      </c>
      <c r="G3" s="10" t="n">
        <v>20</v>
      </c>
      <c r="H3" s="10" t="n">
        <v>60</v>
      </c>
      <c r="I3" s="9" t="n">
        <v>25</v>
      </c>
      <c r="J3" s="9" t="s">
        <v>37</v>
      </c>
      <c r="K3" s="9" t="s">
        <v>38</v>
      </c>
      <c r="L3" s="9" t="n">
        <v>0</v>
      </c>
      <c r="M3" s="8" t="n">
        <f aca="false">L3*SUMIFS('Ayak Süreleri'!$H$2:$H$200,'Ayak Süreleri'!$A$2:$A$200,J3,'Ayak Süreleri'!$B$2:$B$200,K3)</f>
        <v>0</v>
      </c>
      <c r="N3" s="11" t="n">
        <f aca="false">SUM(G3:I3)+M3</f>
        <v>105</v>
      </c>
      <c r="O3" s="8" t="n">
        <f aca="false">ROUND(N3/60,1)</f>
        <v>1.8</v>
      </c>
      <c r="P3" s="12" t="s">
        <v>43</v>
      </c>
    </row>
    <row r="4" customFormat="false" ht="26.85" hidden="false" customHeight="false" outlineLevel="0" collapsed="false">
      <c r="A4" s="8" t="s">
        <v>44</v>
      </c>
      <c r="B4" s="8" t="s">
        <v>33</v>
      </c>
      <c r="C4" s="8" t="s">
        <v>45</v>
      </c>
      <c r="D4" s="8" t="s">
        <v>46</v>
      </c>
      <c r="E4" s="8" t="n">
        <v>1</v>
      </c>
      <c r="F4" s="9" t="s">
        <v>47</v>
      </c>
      <c r="G4" s="10" t="n">
        <v>10</v>
      </c>
      <c r="H4" s="10" t="n">
        <v>60</v>
      </c>
      <c r="I4" s="9" t="n">
        <v>12</v>
      </c>
      <c r="J4" s="9" t="s">
        <v>37</v>
      </c>
      <c r="K4" s="9" t="s">
        <v>38</v>
      </c>
      <c r="L4" s="9" t="n">
        <v>0</v>
      </c>
      <c r="M4" s="8" t="n">
        <f aca="false">L4*SUMIFS('Ayak Süreleri'!$H$2:$H$200,'Ayak Süreleri'!$A$2:$A$200,J4,'Ayak Süreleri'!$B$2:$B$200,K4)</f>
        <v>0</v>
      </c>
      <c r="N4" s="11" t="n">
        <f aca="false">SUM(G4:I4)+M4</f>
        <v>82</v>
      </c>
      <c r="O4" s="8" t="n">
        <f aca="false">ROUND(N4/60,1)</f>
        <v>1.4</v>
      </c>
      <c r="P4" s="12" t="s">
        <v>48</v>
      </c>
    </row>
    <row r="5" customFormat="false" ht="15" hidden="false" customHeight="false" outlineLevel="0" collapsed="false">
      <c r="A5" s="8" t="s">
        <v>49</v>
      </c>
      <c r="B5" s="8" t="s">
        <v>50</v>
      </c>
      <c r="C5" s="8" t="s">
        <v>45</v>
      </c>
      <c r="D5" s="8" t="s">
        <v>51</v>
      </c>
      <c r="E5" s="8" t="n">
        <v>1</v>
      </c>
      <c r="F5" s="9" t="s">
        <v>52</v>
      </c>
      <c r="G5" s="10" t="n">
        <v>3</v>
      </c>
      <c r="H5" s="10" t="n">
        <v>25</v>
      </c>
      <c r="I5" s="9" t="n">
        <v>30</v>
      </c>
      <c r="J5" s="9" t="s">
        <v>37</v>
      </c>
      <c r="K5" s="9" t="s">
        <v>38</v>
      </c>
      <c r="L5" s="9" t="n">
        <v>0</v>
      </c>
      <c r="M5" s="8" t="n">
        <f aca="false">L5*SUMIFS('Ayak Süreleri'!$H$2:$H$200,'Ayak Süreleri'!$A$2:$A$200,J5,'Ayak Süreleri'!$B$2:$B$200,K5)</f>
        <v>0</v>
      </c>
      <c r="N5" s="11" t="n">
        <f aca="false">SUM(G5:I5)+M5</f>
        <v>58</v>
      </c>
      <c r="O5" s="8" t="n">
        <f aca="false">ROUND(N5/60,1)</f>
        <v>1</v>
      </c>
      <c r="P5" s="12" t="s">
        <v>53</v>
      </c>
    </row>
    <row r="6" customFormat="false" ht="26.85" hidden="false" customHeight="false" outlineLevel="0" collapsed="false">
      <c r="A6" s="8" t="s">
        <v>54</v>
      </c>
      <c r="B6" s="8" t="s">
        <v>55</v>
      </c>
      <c r="C6" s="8" t="s">
        <v>56</v>
      </c>
      <c r="D6" s="8" t="s">
        <v>57</v>
      </c>
      <c r="E6" s="8" t="n">
        <v>2</v>
      </c>
      <c r="F6" s="9" t="s">
        <v>58</v>
      </c>
      <c r="G6" s="10" t="n">
        <v>8</v>
      </c>
      <c r="H6" s="9" t="n">
        <v>10</v>
      </c>
      <c r="I6" s="9" t="n">
        <v>5</v>
      </c>
      <c r="J6" s="9" t="s">
        <v>59</v>
      </c>
      <c r="K6" s="9" t="s">
        <v>55</v>
      </c>
      <c r="L6" s="10" t="n">
        <v>4</v>
      </c>
      <c r="M6" s="8" t="n">
        <f aca="false">L6*SUMIFS('Ayak Süreleri'!$H$2:$H$200,'Ayak Süreleri'!$A$2:$A$200,J6,'Ayak Süreleri'!$B$2:$B$200,K6)</f>
        <v>236</v>
      </c>
      <c r="N6" s="11" t="n">
        <f aca="false">SUM(G6:I6)+M6</f>
        <v>259</v>
      </c>
      <c r="O6" s="8" t="n">
        <f aca="false">ROUND(N6/60,1)</f>
        <v>4.3</v>
      </c>
      <c r="P6" s="12" t="s">
        <v>60</v>
      </c>
    </row>
    <row r="7" customFormat="false" ht="15" hidden="false" customHeight="false" outlineLevel="0" collapsed="false">
      <c r="A7" s="8" t="s">
        <v>61</v>
      </c>
      <c r="B7" s="8" t="s">
        <v>55</v>
      </c>
      <c r="C7" s="8" t="s">
        <v>45</v>
      </c>
      <c r="D7" s="8" t="s">
        <v>62</v>
      </c>
      <c r="E7" s="8" t="n">
        <v>2</v>
      </c>
      <c r="F7" s="9" t="s">
        <v>63</v>
      </c>
      <c r="G7" s="10" t="n">
        <v>8</v>
      </c>
      <c r="H7" s="9" t="n">
        <v>10</v>
      </c>
      <c r="I7" s="9" t="n">
        <v>5</v>
      </c>
      <c r="J7" s="9" t="s">
        <v>64</v>
      </c>
      <c r="K7" s="9" t="s">
        <v>55</v>
      </c>
      <c r="L7" s="10" t="n">
        <v>1</v>
      </c>
      <c r="M7" s="8" t="n">
        <f aca="false">L7*SUMIFS('Ayak Süreleri'!$H$2:$H$200,'Ayak Süreleri'!$A$2:$A$200,J7,'Ayak Süreleri'!$B$2:$B$200,K7)</f>
        <v>10</v>
      </c>
      <c r="N7" s="11" t="n">
        <f aca="false">SUM(G7:I7)+M7</f>
        <v>33</v>
      </c>
      <c r="O7" s="8" t="n">
        <f aca="false">ROUND(N7/60,1)</f>
        <v>0.6</v>
      </c>
      <c r="P7" s="12"/>
    </row>
    <row r="8" customFormat="false" ht="15" hidden="false" customHeight="false" outlineLevel="0" collapsed="false">
      <c r="A8" s="8" t="s">
        <v>65</v>
      </c>
      <c r="B8" s="8" t="s">
        <v>55</v>
      </c>
      <c r="C8" s="8" t="s">
        <v>66</v>
      </c>
      <c r="D8" s="8" t="s">
        <v>62</v>
      </c>
      <c r="E8" s="8" t="n">
        <v>2</v>
      </c>
      <c r="F8" s="9" t="s">
        <v>63</v>
      </c>
      <c r="G8" s="10" t="n">
        <v>20</v>
      </c>
      <c r="H8" s="10" t="n">
        <v>25</v>
      </c>
      <c r="I8" s="9" t="n">
        <v>12</v>
      </c>
      <c r="J8" s="9" t="s">
        <v>64</v>
      </c>
      <c r="K8" s="9" t="s">
        <v>55</v>
      </c>
      <c r="L8" s="10" t="n">
        <v>1</v>
      </c>
      <c r="M8" s="8" t="n">
        <f aca="false">L8*SUMIFS('Ayak Süreleri'!$H$2:$H$200,'Ayak Süreleri'!$A$2:$A$200,J8,'Ayak Süreleri'!$B$2:$B$200,K8)</f>
        <v>10</v>
      </c>
      <c r="N8" s="11" t="n">
        <f aca="false">SUM(G8:I8)+M8</f>
        <v>67</v>
      </c>
      <c r="O8" s="8" t="n">
        <f aca="false">ROUND(N8/60,1)</f>
        <v>1.1</v>
      </c>
      <c r="P8" s="12" t="s">
        <v>67</v>
      </c>
    </row>
    <row r="9" customFormat="false" ht="15" hidden="false" customHeight="false" outlineLevel="0" collapsed="false">
      <c r="A9" s="8" t="s">
        <v>68</v>
      </c>
      <c r="B9" s="8" t="s">
        <v>55</v>
      </c>
      <c r="C9" s="8" t="s">
        <v>69</v>
      </c>
      <c r="D9" s="8" t="s">
        <v>70</v>
      </c>
      <c r="E9" s="8" t="n">
        <v>1</v>
      </c>
      <c r="F9" s="9" t="s">
        <v>71</v>
      </c>
      <c r="G9" s="13" t="n">
        <v>0</v>
      </c>
      <c r="H9" s="13" t="n">
        <v>0</v>
      </c>
      <c r="I9" s="13" t="n">
        <v>0</v>
      </c>
      <c r="J9" s="9" t="s">
        <v>37</v>
      </c>
      <c r="K9" s="9" t="s">
        <v>55</v>
      </c>
      <c r="L9" s="9" t="n">
        <v>0</v>
      </c>
      <c r="M9" s="8" t="n">
        <f aca="false">L9*SUMIFS('Ayak Süreleri'!$H$2:$H$200,'Ayak Süreleri'!$A$2:$A$200,J9,'Ayak Süreleri'!$B$2:$B$200,K9)</f>
        <v>0</v>
      </c>
      <c r="N9" s="11" t="n">
        <f aca="false">SUM(G9:I9)+M9</f>
        <v>0</v>
      </c>
      <c r="O9" s="8" t="n">
        <f aca="false">ROUND(N9/60,1)</f>
        <v>0</v>
      </c>
      <c r="P9" s="12" t="s">
        <v>72</v>
      </c>
    </row>
    <row r="10" customFormat="false" ht="15" hidden="false" customHeight="false" outlineLevel="0" collapsed="false">
      <c r="A10" s="8" t="s">
        <v>73</v>
      </c>
      <c r="B10" s="8" t="s">
        <v>55</v>
      </c>
      <c r="C10" s="8" t="s">
        <v>74</v>
      </c>
      <c r="D10" s="8" t="s">
        <v>75</v>
      </c>
      <c r="E10" s="8" t="n">
        <v>2</v>
      </c>
      <c r="F10" s="9" t="s">
        <v>63</v>
      </c>
      <c r="G10" s="10" t="n">
        <v>45</v>
      </c>
      <c r="H10" s="10" t="n">
        <v>25</v>
      </c>
      <c r="I10" s="9" t="n">
        <v>15</v>
      </c>
      <c r="J10" s="9" t="s">
        <v>64</v>
      </c>
      <c r="K10" s="9" t="s">
        <v>55</v>
      </c>
      <c r="L10" s="10" t="n">
        <v>1</v>
      </c>
      <c r="M10" s="8" t="n">
        <f aca="false">L10*SUMIFS('Ayak Süreleri'!$H$2:$H$200,'Ayak Süreleri'!$A$2:$A$200,J10,'Ayak Süreleri'!$B$2:$B$200,K10)</f>
        <v>10</v>
      </c>
      <c r="N10" s="11" t="n">
        <f aca="false">SUM(G10:I10)+M10</f>
        <v>95</v>
      </c>
      <c r="O10" s="8" t="n">
        <f aca="false">ROUND(N10/60,1)</f>
        <v>1.6</v>
      </c>
      <c r="P10" s="12" t="s">
        <v>76</v>
      </c>
    </row>
    <row r="11" customFormat="false" ht="15" hidden="false" customHeight="false" outlineLevel="0" collapsed="false">
      <c r="A11" s="8" t="s">
        <v>77</v>
      </c>
      <c r="B11" s="8" t="s">
        <v>55</v>
      </c>
      <c r="C11" s="8" t="s">
        <v>78</v>
      </c>
      <c r="D11" s="8" t="s">
        <v>79</v>
      </c>
      <c r="E11" s="8" t="n">
        <v>1</v>
      </c>
      <c r="F11" s="9" t="s">
        <v>80</v>
      </c>
      <c r="G11" s="9" t="n">
        <v>4</v>
      </c>
      <c r="H11" s="10" t="n">
        <v>25</v>
      </c>
      <c r="I11" s="9" t="n">
        <v>5</v>
      </c>
      <c r="J11" s="9" t="s">
        <v>37</v>
      </c>
      <c r="K11" s="9" t="s">
        <v>55</v>
      </c>
      <c r="L11" s="9" t="n">
        <v>0</v>
      </c>
      <c r="M11" s="8" t="n">
        <f aca="false">L11*SUMIFS('Ayak Süreleri'!$H$2:$H$200,'Ayak Süreleri'!$A$2:$A$200,J11,'Ayak Süreleri'!$B$2:$B$200,K11)</f>
        <v>0</v>
      </c>
      <c r="N11" s="11" t="n">
        <f aca="false">SUM(G11:I11)+M11</f>
        <v>34</v>
      </c>
      <c r="O11" s="8" t="n">
        <f aca="false">ROUND(N11/60,1)</f>
        <v>0.6</v>
      </c>
      <c r="P11" s="12"/>
    </row>
    <row r="12" customFormat="false" ht="15" hidden="false" customHeight="false" outlineLevel="0" collapsed="false">
      <c r="A12" s="8" t="s">
        <v>81</v>
      </c>
      <c r="B12" s="8" t="s">
        <v>55</v>
      </c>
      <c r="C12" s="8" t="s">
        <v>56</v>
      </c>
      <c r="D12" s="8" t="s">
        <v>82</v>
      </c>
      <c r="E12" s="8" t="n">
        <v>2</v>
      </c>
      <c r="F12" s="9" t="s">
        <v>83</v>
      </c>
      <c r="G12" s="10" t="n">
        <v>8</v>
      </c>
      <c r="H12" s="10" t="n">
        <v>25</v>
      </c>
      <c r="I12" s="9" t="n">
        <v>9</v>
      </c>
      <c r="J12" s="9" t="s">
        <v>84</v>
      </c>
      <c r="K12" s="9" t="s">
        <v>55</v>
      </c>
      <c r="L12" s="10" t="n">
        <v>1</v>
      </c>
      <c r="M12" s="8" t="n">
        <f aca="false">L12*SUMIFS('Ayak Süreleri'!$H$2:$H$200,'Ayak Süreleri'!$A$2:$A$200,J12,'Ayak Süreleri'!$B$2:$B$200,K12)</f>
        <v>73</v>
      </c>
      <c r="N12" s="11" t="n">
        <f aca="false">SUM(G12:I12)+M12</f>
        <v>115</v>
      </c>
      <c r="O12" s="8" t="n">
        <f aca="false">ROUND(N12/60,1)</f>
        <v>1.9</v>
      </c>
      <c r="P12" s="12" t="s">
        <v>85</v>
      </c>
    </row>
    <row r="13" customFormat="false" ht="15" hidden="false" customHeight="false" outlineLevel="0" collapsed="false">
      <c r="A13" s="8" t="s">
        <v>86</v>
      </c>
      <c r="B13" s="8" t="s">
        <v>55</v>
      </c>
      <c r="C13" s="8" t="s">
        <v>45</v>
      </c>
      <c r="D13" s="8" t="s">
        <v>75</v>
      </c>
      <c r="E13" s="8" t="n">
        <v>3</v>
      </c>
      <c r="F13" s="9" t="s">
        <v>87</v>
      </c>
      <c r="G13" s="10" t="n">
        <v>8</v>
      </c>
      <c r="H13" s="9" t="n">
        <v>10</v>
      </c>
      <c r="I13" s="9" t="n">
        <v>5</v>
      </c>
      <c r="J13" s="9" t="s">
        <v>88</v>
      </c>
      <c r="K13" s="9" t="s">
        <v>55</v>
      </c>
      <c r="L13" s="10" t="n">
        <v>2</v>
      </c>
      <c r="M13" s="8" t="n">
        <f aca="false">L13*SUMIFS('Ayak Süreleri'!$H$2:$H$200,'Ayak Süreleri'!$A$2:$A$200,J13,'Ayak Süreleri'!$B$2:$B$200,K13)</f>
        <v>112</v>
      </c>
      <c r="N13" s="11" t="n">
        <f aca="false">SUM(G13:I13)+M13</f>
        <v>135</v>
      </c>
      <c r="O13" s="8" t="n">
        <f aca="false">ROUND(N13/60,1)</f>
        <v>2.3</v>
      </c>
      <c r="P13" s="12"/>
    </row>
    <row r="14" customFormat="false" ht="15" hidden="false" customHeight="false" outlineLevel="0" collapsed="false">
      <c r="A14" s="8" t="s">
        <v>89</v>
      </c>
      <c r="B14" s="8" t="s">
        <v>55</v>
      </c>
      <c r="C14" s="8" t="s">
        <v>56</v>
      </c>
      <c r="D14" s="8" t="s">
        <v>90</v>
      </c>
      <c r="E14" s="8" t="n">
        <v>2</v>
      </c>
      <c r="F14" s="9" t="s">
        <v>91</v>
      </c>
      <c r="G14" s="10" t="n">
        <v>8</v>
      </c>
      <c r="H14" s="9" t="n">
        <v>10</v>
      </c>
      <c r="I14" s="9" t="n">
        <v>4</v>
      </c>
      <c r="J14" s="9" t="s">
        <v>88</v>
      </c>
      <c r="K14" s="9" t="s">
        <v>55</v>
      </c>
      <c r="L14" s="10" t="n">
        <v>1</v>
      </c>
      <c r="M14" s="8" t="n">
        <f aca="false">L14*SUMIFS('Ayak Süreleri'!$H$2:$H$200,'Ayak Süreleri'!$A$2:$A$200,J14,'Ayak Süreleri'!$B$2:$B$200,K14)</f>
        <v>56</v>
      </c>
      <c r="N14" s="11" t="n">
        <f aca="false">SUM(G14:I14)+M14</f>
        <v>78</v>
      </c>
      <c r="O14" s="8" t="n">
        <f aca="false">ROUND(N14/60,1)</f>
        <v>1.3</v>
      </c>
      <c r="P14" s="12"/>
    </row>
    <row r="15" customFormat="false" ht="15" hidden="false" customHeight="false" outlineLevel="0" collapsed="false">
      <c r="A15" s="8" t="s">
        <v>92</v>
      </c>
      <c r="B15" s="8" t="s">
        <v>38</v>
      </c>
      <c r="C15" s="8" t="s">
        <v>66</v>
      </c>
      <c r="D15" s="8" t="s">
        <v>93</v>
      </c>
      <c r="E15" s="8" t="n">
        <v>1</v>
      </c>
      <c r="F15" s="9" t="s">
        <v>94</v>
      </c>
      <c r="G15" s="10" t="n">
        <v>20</v>
      </c>
      <c r="H15" s="10" t="n">
        <v>30</v>
      </c>
      <c r="I15" s="9" t="n">
        <v>6</v>
      </c>
      <c r="J15" s="9" t="s">
        <v>95</v>
      </c>
      <c r="K15" s="9" t="s">
        <v>38</v>
      </c>
      <c r="L15" s="10" t="n">
        <v>1</v>
      </c>
      <c r="M15" s="8" t="n">
        <f aca="false">L15*SUMIFS('Ayak Süreleri'!$H$2:$H$200,'Ayak Süreleri'!$A$2:$A$200,J15,'Ayak Süreleri'!$B$2:$B$200,K15)</f>
        <v>10</v>
      </c>
      <c r="N15" s="11" t="n">
        <f aca="false">SUM(G15:I15)+M15</f>
        <v>66</v>
      </c>
      <c r="O15" s="8" t="n">
        <f aca="false">ROUND(N15/60,1)</f>
        <v>1.1</v>
      </c>
      <c r="P15" s="12"/>
    </row>
    <row r="16" customFormat="false" ht="15" hidden="false" customHeight="false" outlineLevel="0" collapsed="false">
      <c r="A16" s="8" t="s">
        <v>96</v>
      </c>
      <c r="B16" s="8" t="s">
        <v>38</v>
      </c>
      <c r="C16" s="8" t="s">
        <v>56</v>
      </c>
      <c r="D16" s="8" t="s">
        <v>97</v>
      </c>
      <c r="E16" s="8" t="n">
        <v>2</v>
      </c>
      <c r="F16" s="9" t="s">
        <v>91</v>
      </c>
      <c r="G16" s="10" t="n">
        <v>4</v>
      </c>
      <c r="H16" s="9" t="n">
        <v>10</v>
      </c>
      <c r="I16" s="9" t="n">
        <v>4</v>
      </c>
      <c r="J16" s="9" t="s">
        <v>98</v>
      </c>
      <c r="K16" s="9" t="s">
        <v>38</v>
      </c>
      <c r="L16" s="10" t="n">
        <v>1</v>
      </c>
      <c r="M16" s="8" t="n">
        <f aca="false">L16*SUMIFS('Ayak Süreleri'!$H$2:$H$200,'Ayak Süreleri'!$A$2:$A$200,J16,'Ayak Süreleri'!$B$2:$B$200,K16)</f>
        <v>49</v>
      </c>
      <c r="N16" s="11" t="n">
        <f aca="false">SUM(G16:I16)+M16</f>
        <v>67</v>
      </c>
      <c r="O16" s="8" t="n">
        <f aca="false">ROUND(N16/60,1)</f>
        <v>1.1</v>
      </c>
      <c r="P16" s="12"/>
    </row>
    <row r="17" customFormat="false" ht="15" hidden="false" customHeight="false" outlineLevel="0" collapsed="false">
      <c r="A17" s="8" t="s">
        <v>99</v>
      </c>
      <c r="B17" s="8" t="s">
        <v>38</v>
      </c>
      <c r="C17" s="8" t="s">
        <v>45</v>
      </c>
      <c r="D17" s="8" t="s">
        <v>46</v>
      </c>
      <c r="E17" s="8" t="n">
        <v>1</v>
      </c>
      <c r="F17" s="9" t="s">
        <v>100</v>
      </c>
      <c r="G17" s="10" t="n">
        <v>20</v>
      </c>
      <c r="H17" s="10" t="n">
        <v>60</v>
      </c>
      <c r="I17" s="9" t="n">
        <v>15</v>
      </c>
      <c r="J17" s="9" t="s">
        <v>37</v>
      </c>
      <c r="K17" s="9" t="s">
        <v>38</v>
      </c>
      <c r="L17" s="9" t="n">
        <v>0</v>
      </c>
      <c r="M17" s="8" t="n">
        <f aca="false">L17*SUMIFS('Ayak Süreleri'!$H$2:$H$200,'Ayak Süreleri'!$A$2:$A$200,J17,'Ayak Süreleri'!$B$2:$B$200,K17)</f>
        <v>0</v>
      </c>
      <c r="N17" s="11" t="n">
        <f aca="false">SUM(G17:I17)+M17</f>
        <v>95</v>
      </c>
      <c r="O17" s="8" t="n">
        <f aca="false">ROUND(N17/60,1)</f>
        <v>1.6</v>
      </c>
      <c r="P17" s="12"/>
    </row>
    <row r="18" customFormat="false" ht="15" hidden="false" customHeight="false" outlineLevel="0" collapsed="false">
      <c r="A18" s="8" t="s">
        <v>101</v>
      </c>
      <c r="B18" s="8" t="s">
        <v>38</v>
      </c>
      <c r="C18" s="8" t="s">
        <v>45</v>
      </c>
      <c r="D18" s="8" t="s">
        <v>102</v>
      </c>
      <c r="E18" s="8" t="n">
        <v>2</v>
      </c>
      <c r="F18" s="9" t="s">
        <v>63</v>
      </c>
      <c r="G18" s="10" t="n">
        <v>4</v>
      </c>
      <c r="H18" s="9" t="n">
        <v>5</v>
      </c>
      <c r="I18" s="9" t="n">
        <v>4</v>
      </c>
      <c r="J18" s="9" t="s">
        <v>64</v>
      </c>
      <c r="K18" s="9" t="s">
        <v>38</v>
      </c>
      <c r="L18" s="10" t="n">
        <v>1</v>
      </c>
      <c r="M18" s="8" t="n">
        <f aca="false">L18*SUMIFS('Ayak Süreleri'!$H$2:$H$200,'Ayak Süreleri'!$A$2:$A$200,J18,'Ayak Süreleri'!$B$2:$B$200,K18)</f>
        <v>5</v>
      </c>
      <c r="N18" s="11" t="n">
        <f aca="false">SUM(G18:I18)+M18</f>
        <v>18</v>
      </c>
      <c r="O18" s="8" t="n">
        <f aca="false">ROUND(N18/60,1)</f>
        <v>0.3</v>
      </c>
      <c r="P18" s="12"/>
    </row>
    <row r="19" customFormat="false" ht="15" hidden="false" customHeight="false" outlineLevel="0" collapsed="false">
      <c r="A19" s="8" t="s">
        <v>103</v>
      </c>
      <c r="B19" s="8" t="s">
        <v>38</v>
      </c>
      <c r="C19" s="8" t="s">
        <v>56</v>
      </c>
      <c r="D19" s="8" t="s">
        <v>104</v>
      </c>
      <c r="E19" s="8" t="n">
        <v>2</v>
      </c>
      <c r="F19" s="9" t="s">
        <v>91</v>
      </c>
      <c r="G19" s="10" t="n">
        <v>4</v>
      </c>
      <c r="H19" s="10" t="n">
        <v>15</v>
      </c>
      <c r="I19" s="9" t="n">
        <v>4</v>
      </c>
      <c r="J19" s="9" t="s">
        <v>105</v>
      </c>
      <c r="K19" s="9" t="s">
        <v>38</v>
      </c>
      <c r="L19" s="10" t="n">
        <v>1</v>
      </c>
      <c r="M19" s="8" t="n">
        <f aca="false">L19*SUMIFS('Ayak Süreleri'!$H$2:$H$200,'Ayak Süreleri'!$A$2:$A$200,J19,'Ayak Süreleri'!$B$2:$B$200,K19)</f>
        <v>71</v>
      </c>
      <c r="N19" s="11" t="n">
        <f aca="false">SUM(G19:I19)+M19</f>
        <v>94</v>
      </c>
      <c r="O19" s="8" t="n">
        <f aca="false">ROUND(N19/60,1)</f>
        <v>1.6</v>
      </c>
      <c r="P19" s="12"/>
    </row>
    <row r="20" customFormat="false" ht="15" hidden="false" customHeight="false" outlineLevel="0" collapsed="false">
      <c r="A20" s="8" t="s">
        <v>106</v>
      </c>
      <c r="B20" s="8" t="s">
        <v>38</v>
      </c>
      <c r="C20" s="8" t="s">
        <v>56</v>
      </c>
      <c r="D20" s="8" t="s">
        <v>107</v>
      </c>
      <c r="E20" s="8" t="n">
        <v>1</v>
      </c>
      <c r="F20" s="9" t="s">
        <v>108</v>
      </c>
      <c r="G20" s="9" t="n">
        <v>4</v>
      </c>
      <c r="H20" s="10" t="n">
        <v>35</v>
      </c>
      <c r="I20" s="9" t="n">
        <v>4</v>
      </c>
      <c r="J20" s="9" t="s">
        <v>37</v>
      </c>
      <c r="K20" s="9" t="s">
        <v>38</v>
      </c>
      <c r="L20" s="9" t="n">
        <v>0</v>
      </c>
      <c r="M20" s="8" t="n">
        <f aca="false">L20*SUMIFS('Ayak Süreleri'!$H$2:$H$200,'Ayak Süreleri'!$A$2:$A$200,J20,'Ayak Süreleri'!$B$2:$B$200,K20)</f>
        <v>0</v>
      </c>
      <c r="N20" s="11" t="n">
        <f aca="false">SUM(G20:I20)+M20</f>
        <v>43</v>
      </c>
      <c r="O20" s="8" t="n">
        <f aca="false">ROUND(N20/60,1)</f>
        <v>0.7</v>
      </c>
      <c r="P20" s="12"/>
    </row>
    <row r="21" customFormat="false" ht="15" hidden="false" customHeight="false" outlineLevel="0" collapsed="false">
      <c r="A21" s="8" t="s">
        <v>109</v>
      </c>
      <c r="B21" s="8" t="s">
        <v>38</v>
      </c>
      <c r="C21" s="8" t="s">
        <v>56</v>
      </c>
      <c r="D21" s="8" t="s">
        <v>110</v>
      </c>
      <c r="E21" s="8" t="n">
        <v>3</v>
      </c>
      <c r="F21" s="9" t="s">
        <v>111</v>
      </c>
      <c r="G21" s="9" t="n">
        <v>4</v>
      </c>
      <c r="H21" s="10" t="n">
        <v>15</v>
      </c>
      <c r="I21" s="9" t="n">
        <v>8</v>
      </c>
      <c r="J21" s="9" t="s">
        <v>112</v>
      </c>
      <c r="K21" s="9" t="s">
        <v>38</v>
      </c>
      <c r="L21" s="10" t="n">
        <v>2</v>
      </c>
      <c r="M21" s="8" t="n">
        <f aca="false">L21*SUMIFS('Ayak Süreleri'!$H$2:$H$200,'Ayak Süreleri'!$A$2:$A$200,J21,'Ayak Süreleri'!$B$2:$B$200,K21)</f>
        <v>98</v>
      </c>
      <c r="N21" s="11" t="n">
        <f aca="false">SUM(G21:I21)+M21</f>
        <v>125</v>
      </c>
      <c r="O21" s="8" t="n">
        <f aca="false">ROUND(N21/60,1)</f>
        <v>2.1</v>
      </c>
      <c r="P21" s="12" t="s">
        <v>113</v>
      </c>
    </row>
    <row r="22" customFormat="false" ht="15" hidden="false" customHeight="false" outlineLevel="0" collapsed="false">
      <c r="A22" s="8" t="s">
        <v>114</v>
      </c>
      <c r="B22" s="8" t="s">
        <v>38</v>
      </c>
      <c r="C22" s="8" t="s">
        <v>78</v>
      </c>
      <c r="D22" s="8" t="s">
        <v>115</v>
      </c>
      <c r="E22" s="8" t="n">
        <v>1</v>
      </c>
      <c r="F22" s="9" t="s">
        <v>80</v>
      </c>
      <c r="G22" s="9" t="n">
        <v>4</v>
      </c>
      <c r="H22" s="10" t="n">
        <v>15</v>
      </c>
      <c r="I22" s="9" t="n">
        <v>4</v>
      </c>
      <c r="J22" s="9" t="s">
        <v>37</v>
      </c>
      <c r="K22" s="9" t="s">
        <v>38</v>
      </c>
      <c r="L22" s="9" t="n">
        <v>0</v>
      </c>
      <c r="M22" s="8" t="n">
        <f aca="false">L22*SUMIFS('Ayak Süreleri'!$H$2:$H$200,'Ayak Süreleri'!$A$2:$A$200,J22,'Ayak Süreleri'!$B$2:$B$200,K22)</f>
        <v>0</v>
      </c>
      <c r="N22" s="11" t="n">
        <f aca="false">SUM(G22:I22)+M22</f>
        <v>23</v>
      </c>
      <c r="O22" s="8" t="n">
        <f aca="false">ROUND(N22/60,1)</f>
        <v>0.4</v>
      </c>
      <c r="P22" s="12"/>
    </row>
    <row r="23" customFormat="false" ht="15" hidden="false" customHeight="false" outlineLevel="0" collapsed="false">
      <c r="A23" s="8" t="s">
        <v>116</v>
      </c>
      <c r="B23" s="8" t="s">
        <v>38</v>
      </c>
      <c r="C23" s="8" t="s">
        <v>45</v>
      </c>
      <c r="D23" s="8" t="s">
        <v>117</v>
      </c>
      <c r="E23" s="8" t="n">
        <v>3</v>
      </c>
      <c r="F23" s="9" t="s">
        <v>87</v>
      </c>
      <c r="G23" s="10" t="n">
        <v>4</v>
      </c>
      <c r="H23" s="9" t="n">
        <v>5</v>
      </c>
      <c r="I23" s="9" t="n">
        <v>4</v>
      </c>
      <c r="J23" s="9" t="s">
        <v>88</v>
      </c>
      <c r="K23" s="9" t="s">
        <v>38</v>
      </c>
      <c r="L23" s="10" t="n">
        <v>2</v>
      </c>
      <c r="M23" s="8" t="n">
        <f aca="false">L23*SUMIFS('Ayak Süreleri'!$H$2:$H$200,'Ayak Süreleri'!$A$2:$A$200,J23,'Ayak Süreleri'!$B$2:$B$200,K23)</f>
        <v>98</v>
      </c>
      <c r="N23" s="11" t="n">
        <f aca="false">SUM(G23:I23)+M23</f>
        <v>111</v>
      </c>
      <c r="O23" s="8" t="n">
        <f aca="false">ROUND(N23/60,1)</f>
        <v>1.9</v>
      </c>
      <c r="P23" s="12"/>
    </row>
    <row r="24" customFormat="false" ht="15" hidden="false" customHeight="false" outlineLevel="0" collapsed="false">
      <c r="A24" s="8" t="s">
        <v>118</v>
      </c>
      <c r="B24" s="8" t="s">
        <v>38</v>
      </c>
      <c r="C24" s="8" t="s">
        <v>56</v>
      </c>
      <c r="D24" s="8" t="s">
        <v>119</v>
      </c>
      <c r="E24" s="8" t="n">
        <v>3</v>
      </c>
      <c r="F24" s="9" t="s">
        <v>120</v>
      </c>
      <c r="G24" s="10" t="n">
        <v>8</v>
      </c>
      <c r="H24" s="9" t="n">
        <v>10</v>
      </c>
      <c r="I24" s="9" t="n">
        <v>6</v>
      </c>
      <c r="J24" s="9" t="s">
        <v>105</v>
      </c>
      <c r="K24" s="9" t="s">
        <v>38</v>
      </c>
      <c r="L24" s="10" t="n">
        <v>2</v>
      </c>
      <c r="M24" s="8" t="n">
        <f aca="false">L24*SUMIFS('Ayak Süreleri'!$H$2:$H$200,'Ayak Süreleri'!$A$2:$A$200,J24,'Ayak Süreleri'!$B$2:$B$200,K24)</f>
        <v>142</v>
      </c>
      <c r="N24" s="11" t="n">
        <f aca="false">SUM(G24:I24)+M24</f>
        <v>166</v>
      </c>
      <c r="O24" s="8" t="n">
        <f aca="false">ROUND(N24/60,1)</f>
        <v>2.8</v>
      </c>
      <c r="P24" s="12" t="s">
        <v>121</v>
      </c>
    </row>
    <row r="25" customFormat="false" ht="15" hidden="false" customHeight="false" outlineLevel="0" collapsed="false">
      <c r="A25" s="8" t="s">
        <v>122</v>
      </c>
      <c r="B25" s="8" t="s">
        <v>38</v>
      </c>
      <c r="C25" s="8" t="s">
        <v>34</v>
      </c>
      <c r="D25" s="8" t="s">
        <v>123</v>
      </c>
      <c r="E25" s="8" t="n">
        <v>1</v>
      </c>
      <c r="F25" s="9" t="s">
        <v>124</v>
      </c>
      <c r="G25" s="10" t="n">
        <v>8</v>
      </c>
      <c r="H25" s="9" t="n">
        <v>5</v>
      </c>
      <c r="I25" s="9" t="n">
        <v>5</v>
      </c>
      <c r="J25" s="9" t="s">
        <v>37</v>
      </c>
      <c r="K25" s="9" t="s">
        <v>38</v>
      </c>
      <c r="L25" s="9" t="n">
        <v>0</v>
      </c>
      <c r="M25" s="8" t="n">
        <f aca="false">L25*SUMIFS('Ayak Süreleri'!$H$2:$H$200,'Ayak Süreleri'!$A$2:$A$200,J25,'Ayak Süreleri'!$B$2:$B$200,K25)</f>
        <v>0</v>
      </c>
      <c r="N25" s="11" t="n">
        <f aca="false">SUM(G25:I25)+M25</f>
        <v>18</v>
      </c>
      <c r="O25" s="8" t="n">
        <f aca="false">ROUND(N25/60,1)</f>
        <v>0.3</v>
      </c>
      <c r="P25" s="12"/>
    </row>
    <row r="26" customFormat="false" ht="15" hidden="false" customHeight="false" outlineLevel="0" collapsed="false">
      <c r="A26" s="8" t="s">
        <v>125</v>
      </c>
      <c r="B26" s="8" t="s">
        <v>38</v>
      </c>
      <c r="C26" s="8" t="s">
        <v>66</v>
      </c>
      <c r="D26" s="8" t="s">
        <v>126</v>
      </c>
      <c r="E26" s="8" t="n">
        <v>4</v>
      </c>
      <c r="F26" s="9" t="s">
        <v>127</v>
      </c>
      <c r="G26" s="10" t="n">
        <v>20</v>
      </c>
      <c r="H26" s="9" t="n">
        <v>15</v>
      </c>
      <c r="I26" s="9" t="n">
        <v>8</v>
      </c>
      <c r="J26" s="9" t="s">
        <v>112</v>
      </c>
      <c r="K26" s="9" t="s">
        <v>38</v>
      </c>
      <c r="L26" s="10" t="n">
        <v>3</v>
      </c>
      <c r="M26" s="8" t="n">
        <f aca="false">L26*SUMIFS('Ayak Süreleri'!$H$2:$H$200,'Ayak Süreleri'!$A$2:$A$200,J26,'Ayak Süreleri'!$B$2:$B$200,K26)</f>
        <v>147</v>
      </c>
      <c r="N26" s="11" t="n">
        <f aca="false">SUM(G26:I26)+M26</f>
        <v>190</v>
      </c>
      <c r="O26" s="8" t="n">
        <f aca="false">ROUND(N26/60,1)</f>
        <v>3.2</v>
      </c>
      <c r="P26" s="12" t="s">
        <v>128</v>
      </c>
    </row>
    <row r="27" customFormat="false" ht="26.85" hidden="false" customHeight="false" outlineLevel="0" collapsed="false">
      <c r="A27" s="8" t="s">
        <v>129</v>
      </c>
      <c r="B27" s="8" t="s">
        <v>38</v>
      </c>
      <c r="C27" s="8" t="s">
        <v>56</v>
      </c>
      <c r="D27" s="8" t="s">
        <v>130</v>
      </c>
      <c r="E27" s="8" t="n">
        <v>2</v>
      </c>
      <c r="F27" s="9" t="s">
        <v>91</v>
      </c>
      <c r="G27" s="10" t="n">
        <v>3</v>
      </c>
      <c r="H27" s="9" t="n">
        <v>5</v>
      </c>
      <c r="I27" s="9" t="n">
        <v>3</v>
      </c>
      <c r="J27" s="9" t="s">
        <v>88</v>
      </c>
      <c r="K27" s="9" t="s">
        <v>38</v>
      </c>
      <c r="L27" s="10" t="n">
        <v>1</v>
      </c>
      <c r="M27" s="8" t="n">
        <f aca="false">L27*SUMIFS('Ayak Süreleri'!$H$2:$H$200,'Ayak Süreleri'!$A$2:$A$200,J27,'Ayak Süreleri'!$B$2:$B$200,K27)</f>
        <v>49</v>
      </c>
      <c r="N27" s="11" t="n">
        <f aca="false">SUM(G27:I27)+M27</f>
        <v>60</v>
      </c>
      <c r="O27" s="8" t="n">
        <f aca="false">ROUND(N27/60,1)</f>
        <v>1</v>
      </c>
      <c r="P27" s="12" t="s">
        <v>131</v>
      </c>
    </row>
    <row r="28" customFormat="false" ht="15" hidden="false" customHeight="false" outlineLevel="0" collapsed="false">
      <c r="A28" s="8" t="s">
        <v>132</v>
      </c>
      <c r="B28" s="8" t="s">
        <v>38</v>
      </c>
      <c r="C28" s="8" t="s">
        <v>56</v>
      </c>
      <c r="D28" s="8" t="s">
        <v>130</v>
      </c>
      <c r="E28" s="8" t="n">
        <v>2</v>
      </c>
      <c r="F28" s="9" t="s">
        <v>91</v>
      </c>
      <c r="G28" s="10" t="n">
        <v>3</v>
      </c>
      <c r="H28" s="9" t="n">
        <v>5</v>
      </c>
      <c r="I28" s="9" t="n">
        <v>3</v>
      </c>
      <c r="J28" s="9" t="s">
        <v>88</v>
      </c>
      <c r="K28" s="9" t="s">
        <v>38</v>
      </c>
      <c r="L28" s="10" t="n">
        <v>1</v>
      </c>
      <c r="M28" s="8" t="n">
        <f aca="false">L28*SUMIFS('Ayak Süreleri'!$H$2:$H$200,'Ayak Süreleri'!$A$2:$A$200,J28,'Ayak Süreleri'!$B$2:$B$200,K28)</f>
        <v>49</v>
      </c>
      <c r="N28" s="11" t="n">
        <f aca="false">SUM(G28:I28)+M28</f>
        <v>60</v>
      </c>
      <c r="O28" s="8" t="n">
        <f aca="false">ROUND(N28/60,1)</f>
        <v>1</v>
      </c>
      <c r="P28" s="12"/>
    </row>
    <row r="29" customFormat="false" ht="15" hidden="false" customHeight="false" outlineLevel="0" collapsed="false">
      <c r="A29" s="8" t="s">
        <v>133</v>
      </c>
      <c r="B29" s="8" t="s">
        <v>38</v>
      </c>
      <c r="C29" s="8" t="s">
        <v>66</v>
      </c>
      <c r="D29" s="8" t="s">
        <v>134</v>
      </c>
      <c r="E29" s="8" t="n">
        <v>2</v>
      </c>
      <c r="F29" s="9" t="s">
        <v>91</v>
      </c>
      <c r="G29" s="10" t="n">
        <v>20</v>
      </c>
      <c r="H29" s="10" t="n">
        <v>40</v>
      </c>
      <c r="I29" s="9" t="n">
        <v>5</v>
      </c>
      <c r="J29" s="9" t="s">
        <v>112</v>
      </c>
      <c r="K29" s="9" t="s">
        <v>38</v>
      </c>
      <c r="L29" s="10" t="n">
        <v>1</v>
      </c>
      <c r="M29" s="8" t="n">
        <f aca="false">L29*SUMIFS('Ayak Süreleri'!$H$2:$H$200,'Ayak Süreleri'!$A$2:$A$200,J29,'Ayak Süreleri'!$B$2:$B$200,K29)</f>
        <v>49</v>
      </c>
      <c r="N29" s="11" t="n">
        <f aca="false">SUM(G29:I29)+M29</f>
        <v>114</v>
      </c>
      <c r="O29" s="8" t="n">
        <f aca="false">ROUND(N29/60,1)</f>
        <v>1.9</v>
      </c>
      <c r="P29" s="12"/>
    </row>
    <row r="30" customFormat="false" ht="15" hidden="false" customHeight="false" outlineLevel="0" collapsed="false">
      <c r="A30" s="8" t="s">
        <v>135</v>
      </c>
      <c r="B30" s="8" t="s">
        <v>136</v>
      </c>
      <c r="C30" s="8" t="s">
        <v>136</v>
      </c>
      <c r="D30" s="8" t="s">
        <v>137</v>
      </c>
      <c r="E30" s="8" t="n">
        <v>1</v>
      </c>
      <c r="F30" s="9" t="s">
        <v>138</v>
      </c>
      <c r="G30" s="13" t="n">
        <v>0</v>
      </c>
      <c r="H30" s="13" t="n">
        <v>0</v>
      </c>
      <c r="I30" s="13" t="n">
        <v>0</v>
      </c>
      <c r="J30" s="9" t="s">
        <v>37</v>
      </c>
      <c r="K30" s="9" t="s">
        <v>38</v>
      </c>
      <c r="L30" s="9" t="n">
        <v>0</v>
      </c>
      <c r="M30" s="8" t="n">
        <f aca="false">L30*SUMIFS('Ayak Süreleri'!$H$2:$H$200,'Ayak Süreleri'!$A$2:$A$200,J30,'Ayak Süreleri'!$B$2:$B$200,K30)</f>
        <v>0</v>
      </c>
      <c r="N30" s="11" t="n">
        <f aca="false">SUM(G30:I30)+M30</f>
        <v>0</v>
      </c>
      <c r="O30" s="8" t="n">
        <f aca="false">ROUND(N30/60,1)</f>
        <v>0</v>
      </c>
      <c r="P30" s="12" t="s">
        <v>139</v>
      </c>
    </row>
    <row r="31" customFormat="false" ht="15" hidden="false" customHeight="false" outlineLevel="0" collapsed="false">
      <c r="A31" s="8" t="s">
        <v>140</v>
      </c>
      <c r="B31" s="8" t="s">
        <v>136</v>
      </c>
      <c r="C31" s="8" t="s">
        <v>136</v>
      </c>
      <c r="D31" s="8" t="s">
        <v>141</v>
      </c>
      <c r="E31" s="8" t="n">
        <v>1</v>
      </c>
      <c r="F31" s="9" t="s">
        <v>138</v>
      </c>
      <c r="G31" s="13" t="n">
        <v>0</v>
      </c>
      <c r="H31" s="13" t="n">
        <v>0</v>
      </c>
      <c r="I31" s="13" t="n">
        <v>0</v>
      </c>
      <c r="J31" s="9" t="s">
        <v>37</v>
      </c>
      <c r="K31" s="9" t="s">
        <v>38</v>
      </c>
      <c r="L31" s="9" t="n">
        <v>0</v>
      </c>
      <c r="M31" s="8" t="n">
        <f aca="false">L31*SUMIFS('Ayak Süreleri'!$H$2:$H$200,'Ayak Süreleri'!$A$2:$A$200,J31,'Ayak Süreleri'!$B$2:$B$200,K31)</f>
        <v>0</v>
      </c>
      <c r="N31" s="11" t="n">
        <f aca="false">SUM(G31:I31)+M31</f>
        <v>0</v>
      </c>
      <c r="O31" s="8" t="n">
        <f aca="false">ROUND(N31/60,1)</f>
        <v>0</v>
      </c>
      <c r="P31" s="12"/>
    </row>
    <row r="32" customFormat="false" ht="15" hidden="false" customHeight="false" outlineLevel="0" collapsed="false">
      <c r="A32" s="8" t="s">
        <v>142</v>
      </c>
      <c r="B32" s="8" t="s">
        <v>136</v>
      </c>
      <c r="C32" s="8" t="s">
        <v>136</v>
      </c>
      <c r="D32" s="8" t="s">
        <v>143</v>
      </c>
      <c r="E32" s="8" t="n">
        <v>1</v>
      </c>
      <c r="F32" s="9" t="s">
        <v>138</v>
      </c>
      <c r="G32" s="13" t="n">
        <v>0</v>
      </c>
      <c r="H32" s="13" t="n">
        <v>0</v>
      </c>
      <c r="I32" s="13" t="n">
        <v>0</v>
      </c>
      <c r="J32" s="9" t="s">
        <v>37</v>
      </c>
      <c r="K32" s="9" t="s">
        <v>38</v>
      </c>
      <c r="L32" s="9" t="n">
        <v>0</v>
      </c>
      <c r="M32" s="8" t="n">
        <f aca="false">L32*SUMIFS('Ayak Süreleri'!$H$2:$H$200,'Ayak Süreleri'!$A$2:$A$200,J32,'Ayak Süreleri'!$B$2:$B$200,K32)</f>
        <v>0</v>
      </c>
      <c r="N32" s="11" t="n">
        <f aca="false">SUM(G32:I32)+M32</f>
        <v>0</v>
      </c>
      <c r="O32" s="8" t="n">
        <f aca="false">ROUND(N32/60,1)</f>
        <v>0</v>
      </c>
      <c r="P32" s="12"/>
    </row>
    <row r="33" customFormat="false" ht="15" hidden="false" customHeight="false" outlineLevel="0" collapsed="false">
      <c r="A33" s="8" t="s">
        <v>144</v>
      </c>
      <c r="B33" s="8" t="s">
        <v>136</v>
      </c>
      <c r="C33" s="8" t="s">
        <v>136</v>
      </c>
      <c r="D33" s="8" t="s">
        <v>145</v>
      </c>
      <c r="E33" s="8" t="n">
        <v>1</v>
      </c>
      <c r="F33" s="9" t="s">
        <v>138</v>
      </c>
      <c r="G33" s="13" t="n">
        <v>0</v>
      </c>
      <c r="H33" s="13" t="n">
        <v>0</v>
      </c>
      <c r="I33" s="13" t="n">
        <v>0</v>
      </c>
      <c r="J33" s="9" t="s">
        <v>37</v>
      </c>
      <c r="K33" s="9" t="s">
        <v>38</v>
      </c>
      <c r="L33" s="9" t="n">
        <v>0</v>
      </c>
      <c r="M33" s="8" t="n">
        <f aca="false">L33*SUMIFS('Ayak Süreleri'!$H$2:$H$200,'Ayak Süreleri'!$A$2:$A$200,J33,'Ayak Süreleri'!$B$2:$B$200,K33)</f>
        <v>0</v>
      </c>
      <c r="N33" s="11" t="n">
        <f aca="false">SUM(G33:I33)+M33</f>
        <v>0</v>
      </c>
      <c r="O33" s="8" t="n">
        <f aca="false">ROUND(N33/60,1)</f>
        <v>0</v>
      </c>
      <c r="P33" s="12"/>
    </row>
    <row r="34" customFormat="false" ht="15" hidden="false" customHeight="false" outlineLevel="0" collapsed="false">
      <c r="A34" s="8" t="s">
        <v>146</v>
      </c>
      <c r="B34" s="8" t="s">
        <v>136</v>
      </c>
      <c r="C34" s="8" t="s">
        <v>136</v>
      </c>
      <c r="D34" s="8" t="s">
        <v>147</v>
      </c>
      <c r="E34" s="8" t="n">
        <v>1</v>
      </c>
      <c r="F34" s="9" t="s">
        <v>138</v>
      </c>
      <c r="G34" s="13" t="n">
        <v>0</v>
      </c>
      <c r="H34" s="13" t="n">
        <v>0</v>
      </c>
      <c r="I34" s="13" t="n">
        <v>0</v>
      </c>
      <c r="J34" s="9" t="s">
        <v>37</v>
      </c>
      <c r="K34" s="9" t="s">
        <v>38</v>
      </c>
      <c r="L34" s="9" t="n">
        <v>0</v>
      </c>
      <c r="M34" s="8" t="n">
        <f aca="false">L34*SUMIFS('Ayak Süreleri'!$H$2:$H$200,'Ayak Süreleri'!$A$2:$A$200,J34,'Ayak Süreleri'!$B$2:$B$200,K34)</f>
        <v>0</v>
      </c>
      <c r="N34" s="11" t="n">
        <f aca="false">SUM(G34:I34)+M34</f>
        <v>0</v>
      </c>
      <c r="O34" s="8" t="n">
        <f aca="false">ROUND(N34/60,1)</f>
        <v>0</v>
      </c>
      <c r="P34" s="12"/>
    </row>
    <row r="35" customFormat="false" ht="15" hidden="false" customHeight="false" outlineLevel="0" collapsed="false">
      <c r="A35" s="8" t="s">
        <v>148</v>
      </c>
      <c r="B35" s="8" t="s">
        <v>149</v>
      </c>
      <c r="C35" s="8" t="s">
        <v>45</v>
      </c>
      <c r="D35" s="8" t="s">
        <v>150</v>
      </c>
      <c r="E35" s="8" t="n">
        <v>1</v>
      </c>
      <c r="F35" s="9" t="s">
        <v>151</v>
      </c>
      <c r="G35" s="10" t="n">
        <v>5</v>
      </c>
      <c r="H35" s="10" t="n">
        <v>40</v>
      </c>
      <c r="I35" s="9" t="n">
        <v>25</v>
      </c>
      <c r="J35" s="9" t="s">
        <v>152</v>
      </c>
      <c r="K35" s="9" t="s">
        <v>38</v>
      </c>
      <c r="L35" s="10" t="n">
        <v>4</v>
      </c>
      <c r="M35" s="8" t="n">
        <f aca="false">L35*SUMIFS('Ayak Süreleri'!$H$2:$H$200,'Ayak Süreleri'!$A$2:$A$200,J35,'Ayak Süreleri'!$B$2:$B$200,K35)</f>
        <v>20</v>
      </c>
      <c r="N35" s="11" t="n">
        <f aca="false">SUM(G35:I35)+M35</f>
        <v>90</v>
      </c>
      <c r="O35" s="8" t="n">
        <f aca="false">ROUND(N35/60,1)</f>
        <v>1.5</v>
      </c>
      <c r="P35" s="12" t="s">
        <v>153</v>
      </c>
    </row>
    <row r="36" customFormat="false" ht="15" hidden="false" customHeight="false" outlineLevel="0" collapsed="false">
      <c r="A36" s="8" t="s">
        <v>154</v>
      </c>
      <c r="B36" s="8" t="s">
        <v>149</v>
      </c>
      <c r="C36" s="8" t="s">
        <v>34</v>
      </c>
      <c r="D36" s="8" t="s">
        <v>155</v>
      </c>
      <c r="E36" s="8" t="n">
        <v>1</v>
      </c>
      <c r="F36" s="9" t="s">
        <v>100</v>
      </c>
      <c r="G36" s="10" t="n">
        <v>20</v>
      </c>
      <c r="H36" s="10" t="n">
        <v>60</v>
      </c>
      <c r="I36" s="9" t="n">
        <v>35</v>
      </c>
      <c r="J36" s="9" t="s">
        <v>37</v>
      </c>
      <c r="K36" s="9" t="s">
        <v>38</v>
      </c>
      <c r="L36" s="9" t="n">
        <v>0</v>
      </c>
      <c r="M36" s="8" t="n">
        <f aca="false">L36*SUMIFS('Ayak Süreleri'!$H$2:$H$200,'Ayak Süreleri'!$A$2:$A$200,J36,'Ayak Süreleri'!$B$2:$B$200,K36)</f>
        <v>0</v>
      </c>
      <c r="N36" s="11" t="n">
        <f aca="false">SUM(G36:I36)+M36</f>
        <v>115</v>
      </c>
      <c r="O36" s="8" t="n">
        <f aca="false">ROUND(N36/60,1)</f>
        <v>1.9</v>
      </c>
      <c r="P36" s="12" t="s">
        <v>156</v>
      </c>
    </row>
    <row r="37" customFormat="false" ht="15" hidden="false" customHeight="false" outlineLevel="0" collapsed="false">
      <c r="A37" s="8" t="s">
        <v>157</v>
      </c>
      <c r="B37" s="8" t="s">
        <v>149</v>
      </c>
      <c r="C37" s="8" t="s">
        <v>45</v>
      </c>
      <c r="D37" s="8" t="s">
        <v>158</v>
      </c>
      <c r="E37" s="8" t="n">
        <v>1</v>
      </c>
      <c r="F37" s="9" t="s">
        <v>159</v>
      </c>
      <c r="G37" s="10" t="n">
        <v>20</v>
      </c>
      <c r="H37" s="10" t="n">
        <v>60</v>
      </c>
      <c r="I37" s="9" t="n">
        <v>20</v>
      </c>
      <c r="J37" s="9" t="s">
        <v>152</v>
      </c>
      <c r="K37" s="9" t="s">
        <v>38</v>
      </c>
      <c r="L37" s="10" t="n">
        <v>4</v>
      </c>
      <c r="M37" s="8" t="n">
        <f aca="false">L37*SUMIFS('Ayak Süreleri'!$H$2:$H$200,'Ayak Süreleri'!$A$2:$A$200,J37,'Ayak Süreleri'!$B$2:$B$200,K37)</f>
        <v>20</v>
      </c>
      <c r="N37" s="11" t="n">
        <f aca="false">SUM(G37:I37)+M37</f>
        <v>120</v>
      </c>
      <c r="O37" s="8" t="n">
        <f aca="false">ROUND(N37/60,1)</f>
        <v>2</v>
      </c>
      <c r="P37" s="12"/>
    </row>
    <row r="38" customFormat="false" ht="26.85" hidden="false" customHeight="false" outlineLevel="0" collapsed="false">
      <c r="A38" s="8" t="s">
        <v>160</v>
      </c>
      <c r="B38" s="8" t="s">
        <v>149</v>
      </c>
      <c r="C38" s="8" t="s">
        <v>74</v>
      </c>
      <c r="D38" s="8" t="s">
        <v>161</v>
      </c>
      <c r="E38" s="8" t="n">
        <v>1</v>
      </c>
      <c r="F38" s="9" t="s">
        <v>108</v>
      </c>
      <c r="G38" s="9" t="n">
        <v>30</v>
      </c>
      <c r="H38" s="9" t="n">
        <v>45</v>
      </c>
      <c r="I38" s="9" t="n">
        <v>15</v>
      </c>
      <c r="J38" s="9" t="s">
        <v>37</v>
      </c>
      <c r="K38" s="9" t="s">
        <v>38</v>
      </c>
      <c r="L38" s="9" t="n">
        <v>0</v>
      </c>
      <c r="M38" s="8" t="n">
        <f aca="false">L38*SUMIFS('Ayak Süreleri'!$H$2:$H$200,'Ayak Süreleri'!$A$2:$A$200,J38,'Ayak Süreleri'!$B$2:$B$200,K38)</f>
        <v>0</v>
      </c>
      <c r="N38" s="11" t="n">
        <f aca="false">SUM(G38:I38)+M38</f>
        <v>90</v>
      </c>
      <c r="O38" s="8" t="n">
        <f aca="false">ROUND(N38/60,1)</f>
        <v>1.5</v>
      </c>
      <c r="P38" s="12" t="s">
        <v>162</v>
      </c>
    </row>
    <row r="39" customFormat="false" ht="15" hidden="false" customHeight="false" outlineLevel="0" collapsed="false">
      <c r="A39" s="8" t="s">
        <v>163</v>
      </c>
      <c r="B39" s="8" t="s">
        <v>149</v>
      </c>
      <c r="C39" s="8" t="s">
        <v>74</v>
      </c>
      <c r="D39" s="8" t="s">
        <v>164</v>
      </c>
      <c r="E39" s="8" t="n">
        <v>1</v>
      </c>
      <c r="F39" s="9" t="s">
        <v>108</v>
      </c>
      <c r="G39" s="10" t="n">
        <v>45</v>
      </c>
      <c r="H39" s="10" t="n">
        <v>60</v>
      </c>
      <c r="I39" s="9" t="n">
        <v>30</v>
      </c>
      <c r="J39" s="9" t="s">
        <v>37</v>
      </c>
      <c r="K39" s="9" t="s">
        <v>38</v>
      </c>
      <c r="L39" s="9" t="n">
        <v>0</v>
      </c>
      <c r="M39" s="8" t="n">
        <f aca="false">L39*SUMIFS('Ayak Süreleri'!$H$2:$H$200,'Ayak Süreleri'!$A$2:$A$200,J39,'Ayak Süreleri'!$B$2:$B$200,K39)</f>
        <v>0</v>
      </c>
      <c r="N39" s="11" t="n">
        <f aca="false">SUM(G39:I39)+M39</f>
        <v>135</v>
      </c>
      <c r="O39" s="8" t="n">
        <f aca="false">ROUND(N39/60,1)</f>
        <v>2.3</v>
      </c>
      <c r="P39" s="12" t="s">
        <v>165</v>
      </c>
    </row>
    <row r="41" customFormat="false" ht="15" hidden="false" customHeight="false" outlineLevel="0" collapsed="false">
      <c r="A41" s="14" t="s">
        <v>166</v>
      </c>
    </row>
    <row r="42" customFormat="false" ht="15" hidden="false" customHeight="false" outlineLevel="0" collapsed="false">
      <c r="A42" s="15" t="s">
        <v>167</v>
      </c>
    </row>
    <row r="43" customFormat="false" ht="15" hidden="false" customHeight="false" outlineLevel="0" collapsed="false">
      <c r="A43" s="15" t="s">
        <v>168</v>
      </c>
    </row>
  </sheetData>
  <dataValidations count="3">
    <dataValidation allowBlank="true" errorStyle="stop" operator="between" showDropDown="false" showErrorMessage="false" showInputMessage="false" sqref="J2:J79" type="list">
      <formula1>"Apollo,Ayak yok,Babuşka,Bubble konik,Como,Designer,Lazer metal,Milano Spider,Spider,Tivoli,Torino,Tweens Tweety,Tweety,XL Como"</formula1>
      <formula2>0</formula2>
    </dataValidation>
    <dataValidation allowBlank="true" errorStyle="stop" operator="between" showDropDown="false" showErrorMessage="false" showInputMessage="false" sqref="K2:K79" type="list">
      <formula1>"Masa,Sehpa"</formula1>
      <formula2>0</formula2>
    </dataValidation>
    <dataValidation allowBlank="true" error="Dakika olarak sayı yazın" errorStyle="stop" operator="between" showDropDown="false" showErrorMessage="true" showInputMessage="false" sqref="G2:I39" type="decimal">
      <formula1>0</formula1>
      <formula2>10000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8" min="5" style="0" width="13"/>
    <col collapsed="false" customWidth="true" hidden="false" outlineLevel="0" max="9" min="9" style="0" width="16"/>
    <col collapsed="false" customWidth="true" hidden="false" outlineLevel="0" max="10" min="10" style="0" width="60"/>
  </cols>
  <sheetData>
    <row r="1" customFormat="false" ht="31.5" hidden="false" customHeight="true" outlineLevel="0" collapsed="false">
      <c r="A1" s="7" t="s">
        <v>25</v>
      </c>
      <c r="B1" s="7" t="s">
        <v>169</v>
      </c>
      <c r="C1" s="7" t="s">
        <v>170</v>
      </c>
      <c r="D1" s="7" t="s">
        <v>18</v>
      </c>
      <c r="E1" s="7" t="s">
        <v>171</v>
      </c>
      <c r="F1" s="7" t="s">
        <v>172</v>
      </c>
      <c r="G1" s="7" t="s">
        <v>173</v>
      </c>
      <c r="H1" s="7" t="s">
        <v>174</v>
      </c>
      <c r="I1" s="7" t="s">
        <v>175</v>
      </c>
      <c r="J1" s="7" t="s">
        <v>31</v>
      </c>
    </row>
    <row r="2" customFormat="false" ht="26.85" hidden="false" customHeight="false" outlineLevel="0" collapsed="false">
      <c r="A2" s="8" t="s">
        <v>112</v>
      </c>
      <c r="B2" s="8" t="s">
        <v>38</v>
      </c>
      <c r="C2" s="8" t="s">
        <v>176</v>
      </c>
      <c r="D2" s="8" t="s">
        <v>177</v>
      </c>
      <c r="E2" s="10" t="n">
        <v>15</v>
      </c>
      <c r="F2" s="10" t="n">
        <v>30</v>
      </c>
      <c r="G2" s="9" t="n">
        <v>4</v>
      </c>
      <c r="H2" s="8" t="n">
        <f aca="false">SUM(E2:G2)</f>
        <v>49</v>
      </c>
      <c r="I2" s="8" t="s">
        <v>178</v>
      </c>
      <c r="J2" s="12" t="s">
        <v>179</v>
      </c>
    </row>
    <row r="3" customFormat="false" ht="15" hidden="false" customHeight="false" outlineLevel="0" collapsed="false">
      <c r="A3" s="8" t="s">
        <v>112</v>
      </c>
      <c r="B3" s="8" t="s">
        <v>55</v>
      </c>
      <c r="C3" s="8" t="s">
        <v>180</v>
      </c>
      <c r="D3" s="8" t="s">
        <v>177</v>
      </c>
      <c r="E3" s="10" t="n">
        <v>15</v>
      </c>
      <c r="F3" s="10" t="n">
        <v>35</v>
      </c>
      <c r="G3" s="9" t="n">
        <v>7</v>
      </c>
      <c r="H3" s="8" t="n">
        <f aca="false">SUM(E3:G3)</f>
        <v>57</v>
      </c>
      <c r="I3" s="8" t="s">
        <v>178</v>
      </c>
      <c r="J3" s="12" t="s">
        <v>181</v>
      </c>
    </row>
    <row r="4" customFormat="false" ht="15" hidden="false" customHeight="false" outlineLevel="0" collapsed="false">
      <c r="A4" s="8" t="s">
        <v>84</v>
      </c>
      <c r="B4" s="8" t="s">
        <v>55</v>
      </c>
      <c r="C4" s="8" t="s">
        <v>182</v>
      </c>
      <c r="D4" s="8" t="s">
        <v>34</v>
      </c>
      <c r="E4" s="9" t="n">
        <v>20</v>
      </c>
      <c r="F4" s="9" t="n">
        <v>45</v>
      </c>
      <c r="G4" s="9" t="n">
        <v>8</v>
      </c>
      <c r="H4" s="8" t="n">
        <f aca="false">SUM(E4:G4)</f>
        <v>73</v>
      </c>
      <c r="I4" s="8" t="s">
        <v>183</v>
      </c>
      <c r="J4" s="12" t="s">
        <v>184</v>
      </c>
    </row>
    <row r="5" customFormat="false" ht="15" hidden="false" customHeight="false" outlineLevel="0" collapsed="false">
      <c r="A5" s="8" t="s">
        <v>88</v>
      </c>
      <c r="B5" s="8" t="s">
        <v>38</v>
      </c>
      <c r="C5" s="8" t="s">
        <v>176</v>
      </c>
      <c r="D5" s="8" t="s">
        <v>177</v>
      </c>
      <c r="E5" s="10" t="n">
        <v>15</v>
      </c>
      <c r="F5" s="10" t="n">
        <v>30</v>
      </c>
      <c r="G5" s="9" t="n">
        <v>4</v>
      </c>
      <c r="H5" s="8" t="n">
        <f aca="false">SUM(E5:G5)</f>
        <v>49</v>
      </c>
      <c r="I5" s="8" t="s">
        <v>178</v>
      </c>
      <c r="J5" s="12" t="s">
        <v>185</v>
      </c>
    </row>
    <row r="6" customFormat="false" ht="15" hidden="false" customHeight="false" outlineLevel="0" collapsed="false">
      <c r="A6" s="8" t="s">
        <v>88</v>
      </c>
      <c r="B6" s="8" t="s">
        <v>55</v>
      </c>
      <c r="C6" s="8" t="s">
        <v>180</v>
      </c>
      <c r="D6" s="8" t="s">
        <v>177</v>
      </c>
      <c r="E6" s="10" t="n">
        <v>15</v>
      </c>
      <c r="F6" s="10" t="n">
        <v>35</v>
      </c>
      <c r="G6" s="9" t="n">
        <v>6</v>
      </c>
      <c r="H6" s="8" t="n">
        <f aca="false">SUM(E6:G6)</f>
        <v>56</v>
      </c>
      <c r="I6" s="8" t="s">
        <v>178</v>
      </c>
      <c r="J6" s="12"/>
    </row>
    <row r="7" customFormat="false" ht="15" hidden="false" customHeight="false" outlineLevel="0" collapsed="false">
      <c r="A7" s="8" t="s">
        <v>105</v>
      </c>
      <c r="B7" s="8" t="s">
        <v>38</v>
      </c>
      <c r="C7" s="8" t="s">
        <v>186</v>
      </c>
      <c r="D7" s="8" t="s">
        <v>34</v>
      </c>
      <c r="E7" s="9" t="n">
        <v>20</v>
      </c>
      <c r="F7" s="9" t="n">
        <v>45</v>
      </c>
      <c r="G7" s="9" t="n">
        <v>6</v>
      </c>
      <c r="H7" s="8" t="n">
        <f aca="false">SUM(E7:G7)</f>
        <v>71</v>
      </c>
      <c r="I7" s="8" t="s">
        <v>183</v>
      </c>
      <c r="J7" s="12" t="s">
        <v>187</v>
      </c>
    </row>
    <row r="8" customFormat="false" ht="26.85" hidden="false" customHeight="false" outlineLevel="0" collapsed="false">
      <c r="A8" s="8" t="s">
        <v>59</v>
      </c>
      <c r="B8" s="8" t="s">
        <v>55</v>
      </c>
      <c r="C8" s="8" t="s">
        <v>188</v>
      </c>
      <c r="D8" s="8" t="s">
        <v>189</v>
      </c>
      <c r="E8" s="9" t="n">
        <v>15</v>
      </c>
      <c r="F8" s="9" t="n">
        <v>40</v>
      </c>
      <c r="G8" s="16" t="n">
        <v>4</v>
      </c>
      <c r="H8" s="8" t="n">
        <f aca="false">SUM(E8:G8)</f>
        <v>59</v>
      </c>
      <c r="I8" s="8" t="s">
        <v>190</v>
      </c>
      <c r="J8" s="12" t="s">
        <v>191</v>
      </c>
    </row>
    <row r="9" customFormat="false" ht="15" hidden="false" customHeight="false" outlineLevel="0" collapsed="false">
      <c r="A9" s="8" t="s">
        <v>192</v>
      </c>
      <c r="B9" s="8" t="s">
        <v>38</v>
      </c>
      <c r="C9" s="8" t="s">
        <v>193</v>
      </c>
      <c r="D9" s="8" t="s">
        <v>194</v>
      </c>
      <c r="E9" s="9" t="n">
        <v>15</v>
      </c>
      <c r="F9" s="9" t="n">
        <v>30</v>
      </c>
      <c r="G9" s="9" t="n">
        <v>4</v>
      </c>
      <c r="H9" s="8" t="n">
        <f aca="false">SUM(E9:G9)</f>
        <v>49</v>
      </c>
      <c r="I9" s="8" t="s">
        <v>183</v>
      </c>
      <c r="J9" s="12" t="s">
        <v>195</v>
      </c>
    </row>
    <row r="10" customFormat="false" ht="15" hidden="false" customHeight="false" outlineLevel="0" collapsed="false">
      <c r="A10" s="8" t="s">
        <v>98</v>
      </c>
      <c r="B10" s="8" t="s">
        <v>38</v>
      </c>
      <c r="C10" s="8" t="s">
        <v>196</v>
      </c>
      <c r="D10" s="8" t="s">
        <v>34</v>
      </c>
      <c r="E10" s="9" t="n">
        <v>15</v>
      </c>
      <c r="F10" s="9" t="n">
        <v>30</v>
      </c>
      <c r="G10" s="9" t="n">
        <v>4</v>
      </c>
      <c r="H10" s="8" t="n">
        <f aca="false">SUM(E10:G10)</f>
        <v>49</v>
      </c>
      <c r="I10" s="8" t="s">
        <v>183</v>
      </c>
      <c r="J10" s="12"/>
    </row>
    <row r="11" customFormat="false" ht="15" hidden="false" customHeight="false" outlineLevel="0" collapsed="false">
      <c r="A11" s="8" t="s">
        <v>98</v>
      </c>
      <c r="B11" s="8" t="s">
        <v>55</v>
      </c>
      <c r="C11" s="8" t="s">
        <v>196</v>
      </c>
      <c r="D11" s="8" t="s">
        <v>34</v>
      </c>
      <c r="E11" s="9" t="n">
        <v>15</v>
      </c>
      <c r="F11" s="9" t="n">
        <v>35</v>
      </c>
      <c r="G11" s="9" t="n">
        <v>7</v>
      </c>
      <c r="H11" s="8" t="n">
        <f aca="false">SUM(E11:G11)</f>
        <v>57</v>
      </c>
      <c r="I11" s="8" t="s">
        <v>183</v>
      </c>
      <c r="J11" s="12"/>
    </row>
    <row r="12" customFormat="false" ht="26.85" hidden="false" customHeight="false" outlineLevel="0" collapsed="false">
      <c r="A12" s="8" t="s">
        <v>197</v>
      </c>
      <c r="B12" s="8" t="s">
        <v>55</v>
      </c>
      <c r="C12" s="8" t="s">
        <v>198</v>
      </c>
      <c r="D12" s="8" t="s">
        <v>34</v>
      </c>
      <c r="E12" s="9" t="n">
        <v>20</v>
      </c>
      <c r="F12" s="9" t="n">
        <v>40</v>
      </c>
      <c r="G12" s="9" t="n">
        <v>8</v>
      </c>
      <c r="H12" s="8" t="n">
        <f aca="false">SUM(E12:G12)</f>
        <v>68</v>
      </c>
      <c r="I12" s="8" t="s">
        <v>183</v>
      </c>
      <c r="J12" s="12" t="s">
        <v>199</v>
      </c>
    </row>
    <row r="13" customFormat="false" ht="15" hidden="false" customHeight="false" outlineLevel="0" collapsed="false">
      <c r="A13" s="8" t="s">
        <v>197</v>
      </c>
      <c r="B13" s="8" t="s">
        <v>38</v>
      </c>
      <c r="C13" s="8" t="s">
        <v>200</v>
      </c>
      <c r="D13" s="8" t="s">
        <v>34</v>
      </c>
      <c r="E13" s="9" t="n">
        <v>15</v>
      </c>
      <c r="F13" s="9" t="n">
        <v>35</v>
      </c>
      <c r="G13" s="9" t="n">
        <v>6</v>
      </c>
      <c r="H13" s="8" t="n">
        <f aca="false">SUM(E13:G13)</f>
        <v>56</v>
      </c>
      <c r="I13" s="8" t="s">
        <v>183</v>
      </c>
      <c r="J13" s="12"/>
    </row>
    <row r="14" customFormat="false" ht="15" hidden="false" customHeight="false" outlineLevel="0" collapsed="false">
      <c r="A14" s="8" t="s">
        <v>64</v>
      </c>
      <c r="B14" s="8" t="s">
        <v>55</v>
      </c>
      <c r="C14" s="8" t="s">
        <v>182</v>
      </c>
      <c r="D14" s="8" t="s">
        <v>201</v>
      </c>
      <c r="E14" s="9" t="n">
        <v>0</v>
      </c>
      <c r="F14" s="9" t="n">
        <v>10</v>
      </c>
      <c r="G14" s="13" t="n">
        <v>0</v>
      </c>
      <c r="H14" s="8" t="n">
        <f aca="false">SUM(E14:G14)</f>
        <v>10</v>
      </c>
      <c r="I14" s="8" t="s">
        <v>202</v>
      </c>
      <c r="J14" s="12" t="s">
        <v>203</v>
      </c>
    </row>
    <row r="15" customFormat="false" ht="15" hidden="false" customHeight="false" outlineLevel="0" collapsed="false">
      <c r="A15" s="8" t="s">
        <v>64</v>
      </c>
      <c r="B15" s="8" t="s">
        <v>38</v>
      </c>
      <c r="C15" s="8" t="s">
        <v>204</v>
      </c>
      <c r="D15" s="8" t="s">
        <v>201</v>
      </c>
      <c r="E15" s="9" t="n">
        <v>0</v>
      </c>
      <c r="F15" s="9" t="n">
        <v>5</v>
      </c>
      <c r="G15" s="13" t="n">
        <v>0</v>
      </c>
      <c r="H15" s="8" t="n">
        <f aca="false">SUM(E15:G15)</f>
        <v>5</v>
      </c>
      <c r="I15" s="8" t="s">
        <v>202</v>
      </c>
      <c r="J15" s="12"/>
    </row>
    <row r="16" customFormat="false" ht="15" hidden="false" customHeight="false" outlineLevel="0" collapsed="false">
      <c r="A16" s="8" t="s">
        <v>205</v>
      </c>
      <c r="B16" s="8" t="s">
        <v>55</v>
      </c>
      <c r="C16" s="8" t="s">
        <v>182</v>
      </c>
      <c r="D16" s="8" t="s">
        <v>201</v>
      </c>
      <c r="E16" s="9" t="n">
        <v>0</v>
      </c>
      <c r="F16" s="9" t="n">
        <v>10</v>
      </c>
      <c r="G16" s="13" t="n">
        <v>0</v>
      </c>
      <c r="H16" s="8" t="n">
        <f aca="false">SUM(E16:G16)</f>
        <v>10</v>
      </c>
      <c r="I16" s="8" t="s">
        <v>202</v>
      </c>
      <c r="J16" s="12"/>
    </row>
    <row r="17" customFormat="false" ht="15" hidden="false" customHeight="false" outlineLevel="0" collapsed="false">
      <c r="A17" s="8" t="s">
        <v>205</v>
      </c>
      <c r="B17" s="8" t="s">
        <v>38</v>
      </c>
      <c r="C17" s="8" t="s">
        <v>204</v>
      </c>
      <c r="D17" s="8" t="s">
        <v>201</v>
      </c>
      <c r="E17" s="9" t="n">
        <v>0</v>
      </c>
      <c r="F17" s="9" t="n">
        <v>5</v>
      </c>
      <c r="G17" s="13" t="n">
        <v>0</v>
      </c>
      <c r="H17" s="8" t="n">
        <f aca="false">SUM(E17:G17)</f>
        <v>5</v>
      </c>
      <c r="I17" s="8" t="s">
        <v>202</v>
      </c>
      <c r="J17" s="12"/>
    </row>
    <row r="18" customFormat="false" ht="15" hidden="false" customHeight="false" outlineLevel="0" collapsed="false">
      <c r="A18" s="8" t="s">
        <v>206</v>
      </c>
      <c r="B18" s="8" t="s">
        <v>38</v>
      </c>
      <c r="C18" s="8" t="s">
        <v>207</v>
      </c>
      <c r="D18" s="8" t="s">
        <v>201</v>
      </c>
      <c r="E18" s="9" t="n">
        <v>0</v>
      </c>
      <c r="F18" s="9" t="n">
        <v>5</v>
      </c>
      <c r="G18" s="13" t="n">
        <v>0</v>
      </c>
      <c r="H18" s="8" t="n">
        <f aca="false">SUM(E18:G18)</f>
        <v>5</v>
      </c>
      <c r="I18" s="8" t="s">
        <v>202</v>
      </c>
      <c r="J18" s="12"/>
    </row>
    <row r="19" customFormat="false" ht="15" hidden="false" customHeight="false" outlineLevel="0" collapsed="false">
      <c r="A19" s="8" t="s">
        <v>95</v>
      </c>
      <c r="B19" s="8" t="s">
        <v>38</v>
      </c>
      <c r="C19" s="8" t="s">
        <v>208</v>
      </c>
      <c r="D19" s="8" t="s">
        <v>201</v>
      </c>
      <c r="E19" s="9" t="n">
        <v>0</v>
      </c>
      <c r="F19" s="9" t="n">
        <v>10</v>
      </c>
      <c r="G19" s="13" t="n">
        <v>0</v>
      </c>
      <c r="H19" s="8" t="n">
        <f aca="false">SUM(E19:G19)</f>
        <v>10</v>
      </c>
      <c r="I19" s="8" t="s">
        <v>202</v>
      </c>
      <c r="J19" s="12" t="s">
        <v>209</v>
      </c>
    </row>
    <row r="20" customFormat="false" ht="15" hidden="false" customHeight="false" outlineLevel="0" collapsed="false">
      <c r="A20" s="8" t="s">
        <v>152</v>
      </c>
      <c r="B20" s="8" t="s">
        <v>38</v>
      </c>
      <c r="C20" s="8" t="s">
        <v>210</v>
      </c>
      <c r="D20" s="8" t="s">
        <v>201</v>
      </c>
      <c r="E20" s="9" t="n">
        <v>0</v>
      </c>
      <c r="F20" s="9" t="n">
        <v>5</v>
      </c>
      <c r="G20" s="13" t="n">
        <v>0</v>
      </c>
      <c r="H20" s="8" t="n">
        <f aca="false">SUM(E20:G20)</f>
        <v>5</v>
      </c>
      <c r="I20" s="8" t="s">
        <v>202</v>
      </c>
      <c r="J20" s="12" t="s">
        <v>211</v>
      </c>
    </row>
    <row r="21" customFormat="false" ht="15" hidden="false" customHeight="false" outlineLevel="0" collapsed="false">
      <c r="A21" s="8" t="s">
        <v>37</v>
      </c>
      <c r="B21" s="8" t="s">
        <v>38</v>
      </c>
      <c r="C21" s="8"/>
      <c r="D21" s="8"/>
      <c r="E21" s="9" t="n">
        <v>0</v>
      </c>
      <c r="F21" s="9" t="n">
        <v>0</v>
      </c>
      <c r="G21" s="13" t="n">
        <v>0</v>
      </c>
      <c r="H21" s="8" t="n">
        <f aca="false">SUM(E21:G21)</f>
        <v>0</v>
      </c>
      <c r="I21" s="8" t="s">
        <v>202</v>
      </c>
      <c r="J21" s="12" t="s">
        <v>212</v>
      </c>
    </row>
    <row r="22" customFormat="false" ht="15" hidden="false" customHeight="false" outlineLevel="0" collapsed="false">
      <c r="A22" s="8" t="s">
        <v>37</v>
      </c>
      <c r="B22" s="8" t="s">
        <v>55</v>
      </c>
      <c r="C22" s="8"/>
      <c r="D22" s="8"/>
      <c r="E22" s="9" t="n">
        <v>0</v>
      </c>
      <c r="F22" s="9" t="n">
        <v>0</v>
      </c>
      <c r="G22" s="13" t="n">
        <v>0</v>
      </c>
      <c r="H22" s="8" t="n">
        <f aca="false">SUM(E22:G22)</f>
        <v>0</v>
      </c>
      <c r="I22" s="8" t="s">
        <v>202</v>
      </c>
      <c r="J22" s="12"/>
    </row>
  </sheetData>
  <dataValidations count="1">
    <dataValidation allowBlank="true" error="Dakika olarak sayı yazın" errorStyle="stop" operator="between" showDropDown="false" showErrorMessage="true" showInputMessage="false" sqref="E2:G52" type="decimal">
      <formula1>0</formula1>
      <formula2>10000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46"/>
    <col collapsed="false" customWidth="true" hidden="false" outlineLevel="0" max="6" min="6" style="0" width="20"/>
    <col collapsed="false" customWidth="true" hidden="false" outlineLevel="0" max="7" min="7" style="0" width="50"/>
  </cols>
  <sheetData>
    <row r="1" customFormat="false" ht="31.5" hidden="false" customHeight="true" outlineLevel="0" collapsed="false">
      <c r="A1" s="7" t="s">
        <v>213</v>
      </c>
      <c r="B1" s="7" t="s">
        <v>214</v>
      </c>
      <c r="C1" s="7" t="s">
        <v>215</v>
      </c>
      <c r="D1" s="7" t="s">
        <v>216</v>
      </c>
      <c r="E1" s="7" t="s">
        <v>217</v>
      </c>
      <c r="F1" s="7" t="s">
        <v>175</v>
      </c>
      <c r="G1" s="7" t="s">
        <v>31</v>
      </c>
    </row>
    <row r="2" customFormat="false" ht="15" hidden="false" customHeight="false" outlineLevel="0" collapsed="false">
      <c r="A2" s="17" t="s">
        <v>218</v>
      </c>
      <c r="B2" s="18"/>
      <c r="C2" s="18"/>
      <c r="D2" s="18"/>
      <c r="E2" s="18"/>
      <c r="F2" s="18"/>
      <c r="G2" s="18"/>
    </row>
    <row r="3" customFormat="false" ht="15" hidden="false" customHeight="false" outlineLevel="0" collapsed="false">
      <c r="A3" s="19" t="s">
        <v>154</v>
      </c>
      <c r="B3" s="10" t="s">
        <v>219</v>
      </c>
      <c r="C3" s="10" t="n">
        <v>8</v>
      </c>
      <c r="D3" s="10" t="s">
        <v>220</v>
      </c>
      <c r="E3" s="10" t="s">
        <v>221</v>
      </c>
      <c r="F3" s="19" t="s">
        <v>222</v>
      </c>
      <c r="G3" s="19" t="s">
        <v>223</v>
      </c>
    </row>
    <row r="4" customFormat="false" ht="15" hidden="false" customHeight="false" outlineLevel="0" collapsed="false">
      <c r="A4" s="19" t="s">
        <v>154</v>
      </c>
      <c r="B4" s="10" t="s">
        <v>224</v>
      </c>
      <c r="C4" s="10" t="n">
        <v>4</v>
      </c>
      <c r="D4" s="10" t="s">
        <v>220</v>
      </c>
      <c r="E4" s="10" t="s">
        <v>225</v>
      </c>
      <c r="F4" s="19" t="s">
        <v>222</v>
      </c>
      <c r="G4" s="19"/>
    </row>
    <row r="5" customFormat="false" ht="15" hidden="false" customHeight="false" outlineLevel="0" collapsed="false">
      <c r="A5" s="19" t="s">
        <v>154</v>
      </c>
      <c r="B5" s="10" t="s">
        <v>226</v>
      </c>
      <c r="C5" s="10" t="n">
        <v>4</v>
      </c>
      <c r="D5" s="10" t="s">
        <v>220</v>
      </c>
      <c r="E5" s="10" t="s">
        <v>227</v>
      </c>
      <c r="F5" s="19" t="s">
        <v>222</v>
      </c>
      <c r="G5" s="19"/>
    </row>
    <row r="6" customFormat="false" ht="15" hidden="false" customHeight="false" outlineLevel="0" collapsed="false">
      <c r="A6" s="19" t="s">
        <v>154</v>
      </c>
      <c r="B6" s="9" t="s">
        <v>228</v>
      </c>
      <c r="C6" s="9" t="n">
        <v>4</v>
      </c>
      <c r="D6" s="9" t="s">
        <v>220</v>
      </c>
      <c r="E6" s="9"/>
      <c r="F6" s="19" t="s">
        <v>229</v>
      </c>
      <c r="G6" s="19" t="s">
        <v>230</v>
      </c>
    </row>
    <row r="7" customFormat="false" ht="15" hidden="false" customHeight="false" outlineLevel="0" collapsed="false">
      <c r="A7" s="19" t="s">
        <v>32</v>
      </c>
      <c r="B7" s="9" t="s">
        <v>219</v>
      </c>
      <c r="C7" s="9" t="n">
        <v>8</v>
      </c>
      <c r="D7" s="9" t="s">
        <v>220</v>
      </c>
      <c r="E7" s="9" t="s">
        <v>231</v>
      </c>
      <c r="F7" s="19" t="s">
        <v>229</v>
      </c>
      <c r="G7" s="19" t="s">
        <v>232</v>
      </c>
    </row>
    <row r="8" customFormat="false" ht="15" hidden="false" customHeight="false" outlineLevel="0" collapsed="false">
      <c r="A8" s="19" t="s">
        <v>32</v>
      </c>
      <c r="B8" s="9" t="s">
        <v>226</v>
      </c>
      <c r="C8" s="9" t="n">
        <v>4</v>
      </c>
      <c r="D8" s="9" t="s">
        <v>220</v>
      </c>
      <c r="E8" s="9" t="s">
        <v>227</v>
      </c>
      <c r="F8" s="19" t="s">
        <v>229</v>
      </c>
      <c r="G8" s="19"/>
    </row>
    <row r="9" customFormat="false" ht="15" hidden="false" customHeight="false" outlineLevel="0" collapsed="false">
      <c r="A9" s="19" t="s">
        <v>32</v>
      </c>
      <c r="B9" s="9" t="s">
        <v>228</v>
      </c>
      <c r="C9" s="9" t="n">
        <v>4</v>
      </c>
      <c r="D9" s="9" t="s">
        <v>220</v>
      </c>
      <c r="E9" s="9"/>
      <c r="F9" s="19" t="s">
        <v>229</v>
      </c>
      <c r="G9" s="19"/>
    </row>
    <row r="10" customFormat="false" ht="15" hidden="false" customHeight="false" outlineLevel="0" collapsed="false">
      <c r="A10" s="19" t="s">
        <v>40</v>
      </c>
      <c r="B10" s="10" t="s">
        <v>219</v>
      </c>
      <c r="C10" s="10" t="n">
        <v>8</v>
      </c>
      <c r="D10" s="10" t="s">
        <v>220</v>
      </c>
      <c r="E10" s="10" t="s">
        <v>231</v>
      </c>
      <c r="F10" s="19" t="s">
        <v>233</v>
      </c>
      <c r="G10" s="19" t="s">
        <v>234</v>
      </c>
    </row>
    <row r="11" customFormat="false" ht="15" hidden="false" customHeight="false" outlineLevel="0" collapsed="false">
      <c r="A11" s="19" t="s">
        <v>40</v>
      </c>
      <c r="B11" s="10" t="s">
        <v>226</v>
      </c>
      <c r="C11" s="10" t="n">
        <v>4</v>
      </c>
      <c r="D11" s="10" t="s">
        <v>220</v>
      </c>
      <c r="E11" s="10" t="s">
        <v>227</v>
      </c>
      <c r="F11" s="19" t="s">
        <v>233</v>
      </c>
      <c r="G11" s="19" t="s">
        <v>234</v>
      </c>
    </row>
    <row r="12" customFormat="false" ht="15" hidden="false" customHeight="false" outlineLevel="0" collapsed="false">
      <c r="A12" s="19" t="s">
        <v>40</v>
      </c>
      <c r="B12" s="9" t="s">
        <v>228</v>
      </c>
      <c r="C12" s="9" t="n">
        <v>4</v>
      </c>
      <c r="D12" s="9" t="s">
        <v>220</v>
      </c>
      <c r="E12" s="9"/>
      <c r="F12" s="19" t="s">
        <v>229</v>
      </c>
      <c r="G12" s="19"/>
    </row>
    <row r="13" customFormat="false" ht="15" hidden="false" customHeight="false" outlineLevel="0" collapsed="false">
      <c r="A13" s="19" t="s">
        <v>44</v>
      </c>
      <c r="B13" s="10" t="s">
        <v>235</v>
      </c>
      <c r="C13" s="10" t="n">
        <v>2</v>
      </c>
      <c r="D13" s="10" t="s">
        <v>236</v>
      </c>
      <c r="E13" s="10" t="s">
        <v>237</v>
      </c>
      <c r="F13" s="19" t="s">
        <v>233</v>
      </c>
      <c r="G13" s="19" t="s">
        <v>238</v>
      </c>
    </row>
    <row r="14" customFormat="false" ht="15" hidden="false" customHeight="false" outlineLevel="0" collapsed="false">
      <c r="A14" s="19" t="s">
        <v>44</v>
      </c>
      <c r="B14" s="9" t="s">
        <v>239</v>
      </c>
      <c r="C14" s="9" t="n">
        <v>24</v>
      </c>
      <c r="D14" s="9" t="s">
        <v>220</v>
      </c>
      <c r="E14" s="9" t="s">
        <v>240</v>
      </c>
      <c r="F14" s="19" t="s">
        <v>229</v>
      </c>
      <c r="G14" s="19"/>
    </row>
    <row r="15" customFormat="false" ht="15" hidden="false" customHeight="false" outlineLevel="0" collapsed="false">
      <c r="A15" s="19" t="s">
        <v>44</v>
      </c>
      <c r="B15" s="9" t="s">
        <v>228</v>
      </c>
      <c r="C15" s="9" t="n">
        <v>4</v>
      </c>
      <c r="D15" s="9" t="s">
        <v>220</v>
      </c>
      <c r="E15" s="9"/>
      <c r="F15" s="19" t="s">
        <v>229</v>
      </c>
      <c r="G15" s="19"/>
    </row>
    <row r="16" customFormat="false" ht="15" hidden="false" customHeight="false" outlineLevel="0" collapsed="false">
      <c r="A16" s="19" t="s">
        <v>49</v>
      </c>
      <c r="B16" s="9" t="s">
        <v>241</v>
      </c>
      <c r="C16" s="9" t="n">
        <v>7.6</v>
      </c>
      <c r="D16" s="9" t="s">
        <v>242</v>
      </c>
      <c r="E16" s="9" t="s">
        <v>243</v>
      </c>
      <c r="F16" s="19" t="s">
        <v>229</v>
      </c>
      <c r="G16" s="19" t="s">
        <v>244</v>
      </c>
    </row>
    <row r="17" customFormat="false" ht="15" hidden="false" customHeight="false" outlineLevel="0" collapsed="false">
      <c r="A17" s="19" t="s">
        <v>49</v>
      </c>
      <c r="B17" s="9" t="s">
        <v>245</v>
      </c>
      <c r="C17" s="9" t="n">
        <v>1</v>
      </c>
      <c r="D17" s="9" t="s">
        <v>220</v>
      </c>
      <c r="E17" s="9" t="s">
        <v>246</v>
      </c>
      <c r="F17" s="19" t="s">
        <v>229</v>
      </c>
      <c r="G17" s="19"/>
    </row>
    <row r="18" customFormat="false" ht="15" hidden="false" customHeight="false" outlineLevel="0" collapsed="false">
      <c r="A18" s="19" t="s">
        <v>49</v>
      </c>
      <c r="B18" s="9" t="s">
        <v>247</v>
      </c>
      <c r="C18" s="9" t="n">
        <v>1</v>
      </c>
      <c r="D18" s="9" t="s">
        <v>248</v>
      </c>
      <c r="E18" s="9"/>
      <c r="F18" s="19" t="s">
        <v>229</v>
      </c>
      <c r="G18" s="19"/>
    </row>
    <row r="19" customFormat="false" ht="15" hidden="false" customHeight="false" outlineLevel="0" collapsed="false">
      <c r="A19" s="19" t="s">
        <v>49</v>
      </c>
      <c r="B19" s="9" t="s">
        <v>249</v>
      </c>
      <c r="C19" s="9" t="n">
        <v>12</v>
      </c>
      <c r="D19" s="9" t="s">
        <v>220</v>
      </c>
      <c r="E19" s="9"/>
      <c r="F19" s="19" t="s">
        <v>229</v>
      </c>
      <c r="G19" s="19"/>
    </row>
    <row r="20" customFormat="false" ht="15" hidden="false" customHeight="false" outlineLevel="0" collapsed="false">
      <c r="A20" s="19" t="s">
        <v>68</v>
      </c>
      <c r="B20" s="9" t="s">
        <v>250</v>
      </c>
      <c r="C20" s="9" t="n">
        <v>6</v>
      </c>
      <c r="D20" s="9" t="s">
        <v>220</v>
      </c>
      <c r="E20" s="9"/>
      <c r="F20" s="19" t="s">
        <v>229</v>
      </c>
      <c r="G20" s="19" t="s">
        <v>251</v>
      </c>
    </row>
    <row r="21" customFormat="false" ht="15" hidden="false" customHeight="false" outlineLevel="0" collapsed="false">
      <c r="A21" s="19" t="s">
        <v>65</v>
      </c>
      <c r="B21" s="9" t="s">
        <v>252</v>
      </c>
      <c r="C21" s="9" t="n">
        <v>0.3</v>
      </c>
      <c r="D21" s="9" t="s">
        <v>253</v>
      </c>
      <c r="E21" s="9" t="s">
        <v>254</v>
      </c>
      <c r="F21" s="19" t="s">
        <v>229</v>
      </c>
      <c r="G21" s="19"/>
    </row>
    <row r="22" customFormat="false" ht="15" hidden="false" customHeight="false" outlineLevel="0" collapsed="false">
      <c r="A22" s="19" t="s">
        <v>81</v>
      </c>
      <c r="B22" s="9" t="s">
        <v>252</v>
      </c>
      <c r="C22" s="9" t="n">
        <v>0.2</v>
      </c>
      <c r="D22" s="9" t="s">
        <v>253</v>
      </c>
      <c r="E22" s="9" t="s">
        <v>254</v>
      </c>
      <c r="F22" s="19" t="s">
        <v>229</v>
      </c>
      <c r="G22" s="19"/>
    </row>
    <row r="23" customFormat="false" ht="15" hidden="false" customHeight="false" outlineLevel="0" collapsed="false">
      <c r="A23" s="19" t="s">
        <v>109</v>
      </c>
      <c r="B23" s="9" t="s">
        <v>252</v>
      </c>
      <c r="C23" s="9" t="n">
        <v>0.2</v>
      </c>
      <c r="D23" s="9" t="s">
        <v>253</v>
      </c>
      <c r="E23" s="9" t="s">
        <v>255</v>
      </c>
      <c r="F23" s="19" t="s">
        <v>229</v>
      </c>
      <c r="G23" s="19"/>
    </row>
    <row r="24" customFormat="false" ht="15" hidden="false" customHeight="false" outlineLevel="0" collapsed="false">
      <c r="A24" s="19" t="s">
        <v>92</v>
      </c>
      <c r="B24" s="9" t="s">
        <v>239</v>
      </c>
      <c r="C24" s="9" t="n">
        <v>8</v>
      </c>
      <c r="D24" s="9" t="s">
        <v>220</v>
      </c>
      <c r="E24" s="9" t="s">
        <v>256</v>
      </c>
      <c r="F24" s="19" t="s">
        <v>229</v>
      </c>
      <c r="G24" s="19"/>
    </row>
    <row r="25" customFormat="false" ht="15" hidden="false" customHeight="false" outlineLevel="0" collapsed="false">
      <c r="A25" s="19" t="s">
        <v>99</v>
      </c>
      <c r="B25" s="10" t="s">
        <v>226</v>
      </c>
      <c r="C25" s="10" t="n">
        <v>1</v>
      </c>
      <c r="D25" s="10" t="s">
        <v>220</v>
      </c>
      <c r="E25" s="10"/>
      <c r="F25" s="19" t="s">
        <v>233</v>
      </c>
      <c r="G25" s="19" t="s">
        <v>234</v>
      </c>
    </row>
    <row r="26" customFormat="false" ht="15" hidden="false" customHeight="false" outlineLevel="0" collapsed="false">
      <c r="A26" s="19" t="s">
        <v>99</v>
      </c>
      <c r="B26" s="10" t="s">
        <v>219</v>
      </c>
      <c r="C26" s="10" t="n">
        <v>2</v>
      </c>
      <c r="D26" s="10" t="s">
        <v>220</v>
      </c>
      <c r="E26" s="10"/>
      <c r="F26" s="19" t="s">
        <v>233</v>
      </c>
      <c r="G26" s="19" t="s">
        <v>234</v>
      </c>
    </row>
    <row r="27" customFormat="false" ht="15" hidden="false" customHeight="false" outlineLevel="0" collapsed="false">
      <c r="A27" s="19" t="s">
        <v>99</v>
      </c>
      <c r="B27" s="10" t="s">
        <v>257</v>
      </c>
      <c r="C27" s="10" t="n">
        <v>1</v>
      </c>
      <c r="D27" s="10" t="s">
        <v>220</v>
      </c>
      <c r="E27" s="10"/>
      <c r="F27" s="19" t="s">
        <v>233</v>
      </c>
      <c r="G27" s="19" t="s">
        <v>234</v>
      </c>
    </row>
    <row r="28" customFormat="false" ht="15" hidden="false" customHeight="false" outlineLevel="0" collapsed="false">
      <c r="A28" s="19" t="s">
        <v>148</v>
      </c>
      <c r="B28" s="10" t="s">
        <v>219</v>
      </c>
      <c r="C28" s="10" t="n">
        <v>6</v>
      </c>
      <c r="D28" s="10" t="s">
        <v>220</v>
      </c>
      <c r="E28" s="10"/>
      <c r="F28" s="19" t="s">
        <v>233</v>
      </c>
      <c r="G28" s="19" t="s">
        <v>258</v>
      </c>
    </row>
    <row r="29" customFormat="false" ht="15" hidden="false" customHeight="false" outlineLevel="0" collapsed="false">
      <c r="A29" s="19" t="s">
        <v>148</v>
      </c>
      <c r="B29" s="10" t="s">
        <v>224</v>
      </c>
      <c r="C29" s="10" t="n">
        <v>3</v>
      </c>
      <c r="D29" s="10" t="s">
        <v>220</v>
      </c>
      <c r="E29" s="10"/>
      <c r="F29" s="19" t="s">
        <v>233</v>
      </c>
      <c r="G29" s="19" t="s">
        <v>234</v>
      </c>
    </row>
    <row r="30" customFormat="false" ht="15" hidden="false" customHeight="false" outlineLevel="0" collapsed="false">
      <c r="A30" s="19" t="s">
        <v>157</v>
      </c>
      <c r="B30" s="9" t="s">
        <v>219</v>
      </c>
      <c r="C30" s="9" t="n">
        <v>6</v>
      </c>
      <c r="D30" s="9" t="s">
        <v>220</v>
      </c>
      <c r="E30" s="9" t="s">
        <v>259</v>
      </c>
      <c r="F30" s="19" t="s">
        <v>229</v>
      </c>
      <c r="G30" s="19"/>
    </row>
    <row r="31" customFormat="false" ht="15" hidden="false" customHeight="false" outlineLevel="0" collapsed="false">
      <c r="A31" s="19" t="s">
        <v>157</v>
      </c>
      <c r="B31" s="9" t="s">
        <v>260</v>
      </c>
      <c r="C31" s="9" t="n">
        <v>16</v>
      </c>
      <c r="D31" s="9" t="s">
        <v>220</v>
      </c>
      <c r="E31" s="9" t="s">
        <v>261</v>
      </c>
      <c r="F31" s="19" t="s">
        <v>229</v>
      </c>
      <c r="G31" s="19" t="s">
        <v>262</v>
      </c>
    </row>
    <row r="32" customFormat="false" ht="15" hidden="false" customHeight="false" outlineLevel="0" collapsed="false">
      <c r="A32" s="19" t="s">
        <v>157</v>
      </c>
      <c r="B32" s="9" t="s">
        <v>263</v>
      </c>
      <c r="C32" s="9" t="n">
        <v>2</v>
      </c>
      <c r="D32" s="9" t="s">
        <v>220</v>
      </c>
      <c r="E32" s="9"/>
      <c r="F32" s="19" t="s">
        <v>229</v>
      </c>
      <c r="G32" s="19" t="s">
        <v>264</v>
      </c>
    </row>
    <row r="33" customFormat="false" ht="15" hidden="false" customHeight="false" outlineLevel="0" collapsed="false">
      <c r="A33" s="19" t="s">
        <v>163</v>
      </c>
      <c r="B33" s="10" t="s">
        <v>219</v>
      </c>
      <c r="C33" s="10" t="n">
        <v>4</v>
      </c>
      <c r="D33" s="10" t="s">
        <v>220</v>
      </c>
      <c r="E33" s="10"/>
      <c r="F33" s="19" t="s">
        <v>233</v>
      </c>
      <c r="G33" s="19" t="s">
        <v>234</v>
      </c>
    </row>
    <row r="34" customFormat="false" ht="15" hidden="false" customHeight="false" outlineLevel="0" collapsed="false">
      <c r="A34" s="19" t="s">
        <v>163</v>
      </c>
      <c r="B34" s="10" t="s">
        <v>226</v>
      </c>
      <c r="C34" s="10" t="n">
        <v>2</v>
      </c>
      <c r="D34" s="10" t="s">
        <v>220</v>
      </c>
      <c r="E34" s="10"/>
      <c r="F34" s="19" t="s">
        <v>233</v>
      </c>
      <c r="G34" s="19" t="s">
        <v>234</v>
      </c>
    </row>
    <row r="35" customFormat="false" ht="15" hidden="false" customHeight="false" outlineLevel="0" collapsed="false">
      <c r="A35" s="19" t="s">
        <v>163</v>
      </c>
      <c r="B35" s="9" t="s">
        <v>265</v>
      </c>
      <c r="C35" s="9" t="n">
        <v>2</v>
      </c>
      <c r="D35" s="9" t="s">
        <v>220</v>
      </c>
      <c r="E35" s="9"/>
      <c r="F35" s="19" t="s">
        <v>229</v>
      </c>
      <c r="G35" s="19"/>
    </row>
    <row r="36" customFormat="false" ht="15" hidden="false" customHeight="false" outlineLevel="0" collapsed="false">
      <c r="A36" s="19" t="s">
        <v>135</v>
      </c>
      <c r="B36" s="13" t="s">
        <v>266</v>
      </c>
      <c r="C36" s="13" t="n">
        <v>0</v>
      </c>
      <c r="D36" s="13" t="s">
        <v>220</v>
      </c>
      <c r="E36" s="13"/>
      <c r="F36" s="19" t="s">
        <v>267</v>
      </c>
      <c r="G36" s="19" t="s">
        <v>268</v>
      </c>
    </row>
    <row r="37" customFormat="false" ht="15" hidden="false" customHeight="false" outlineLevel="0" collapsed="false">
      <c r="A37" s="19" t="s">
        <v>140</v>
      </c>
      <c r="B37" s="13" t="s">
        <v>266</v>
      </c>
      <c r="C37" s="13" t="n">
        <v>0</v>
      </c>
      <c r="D37" s="13" t="s">
        <v>220</v>
      </c>
      <c r="E37" s="13"/>
      <c r="F37" s="19" t="s">
        <v>267</v>
      </c>
      <c r="G37" s="19" t="s">
        <v>268</v>
      </c>
    </row>
    <row r="38" customFormat="false" ht="15" hidden="false" customHeight="false" outlineLevel="0" collapsed="false">
      <c r="A38" s="19" t="s">
        <v>142</v>
      </c>
      <c r="B38" s="13" t="s">
        <v>266</v>
      </c>
      <c r="C38" s="13" t="n">
        <v>0</v>
      </c>
      <c r="D38" s="13" t="s">
        <v>220</v>
      </c>
      <c r="E38" s="13"/>
      <c r="F38" s="19" t="s">
        <v>267</v>
      </c>
      <c r="G38" s="19" t="s">
        <v>268</v>
      </c>
    </row>
    <row r="39" customFormat="false" ht="15" hidden="false" customHeight="false" outlineLevel="0" collapsed="false">
      <c r="A39" s="19" t="s">
        <v>144</v>
      </c>
      <c r="B39" s="13" t="s">
        <v>266</v>
      </c>
      <c r="C39" s="13" t="n">
        <v>0</v>
      </c>
      <c r="D39" s="13" t="s">
        <v>220</v>
      </c>
      <c r="E39" s="13"/>
      <c r="F39" s="19" t="s">
        <v>267</v>
      </c>
      <c r="G39" s="19" t="s">
        <v>268</v>
      </c>
    </row>
    <row r="40" customFormat="false" ht="15" hidden="false" customHeight="false" outlineLevel="0" collapsed="false">
      <c r="A40" s="19" t="s">
        <v>146</v>
      </c>
      <c r="B40" s="13" t="s">
        <v>266</v>
      </c>
      <c r="C40" s="13" t="n">
        <v>0</v>
      </c>
      <c r="D40" s="13" t="s">
        <v>220</v>
      </c>
      <c r="E40" s="13"/>
      <c r="F40" s="19" t="s">
        <v>267</v>
      </c>
      <c r="G40" s="19" t="s">
        <v>268</v>
      </c>
    </row>
    <row r="41" customFormat="false" ht="15" hidden="false" customHeight="false" outlineLevel="0" collapsed="false">
      <c r="A41" s="17" t="s">
        <v>269</v>
      </c>
      <c r="B41" s="18"/>
      <c r="C41" s="18"/>
      <c r="D41" s="18"/>
      <c r="E41" s="18"/>
      <c r="F41" s="18"/>
      <c r="G41" s="18"/>
    </row>
    <row r="42" customFormat="false" ht="15" hidden="false" customHeight="false" outlineLevel="0" collapsed="false">
      <c r="A42" s="19" t="s">
        <v>270</v>
      </c>
      <c r="B42" s="16" t="s">
        <v>271</v>
      </c>
      <c r="C42" s="16" t="n">
        <v>4</v>
      </c>
      <c r="D42" s="16" t="s">
        <v>220</v>
      </c>
      <c r="E42" s="16" t="s">
        <v>272</v>
      </c>
      <c r="F42" s="19" t="s">
        <v>273</v>
      </c>
      <c r="G42" s="19"/>
    </row>
    <row r="43" customFormat="false" ht="15" hidden="false" customHeight="false" outlineLevel="0" collapsed="false">
      <c r="A43" s="19" t="s">
        <v>270</v>
      </c>
      <c r="B43" s="9" t="s">
        <v>274</v>
      </c>
      <c r="C43" s="9" t="n">
        <v>4</v>
      </c>
      <c r="D43" s="9" t="s">
        <v>220</v>
      </c>
      <c r="E43" s="9" t="s">
        <v>275</v>
      </c>
      <c r="F43" s="19" t="s">
        <v>229</v>
      </c>
      <c r="G43" s="19"/>
    </row>
    <row r="44" customFormat="false" ht="15" hidden="false" customHeight="false" outlineLevel="0" collapsed="false">
      <c r="A44" s="19" t="s">
        <v>270</v>
      </c>
      <c r="B44" s="9" t="s">
        <v>276</v>
      </c>
      <c r="C44" s="9" t="n">
        <v>4</v>
      </c>
      <c r="D44" s="9" t="s">
        <v>220</v>
      </c>
      <c r="E44" s="9"/>
      <c r="F44" s="19" t="s">
        <v>229</v>
      </c>
      <c r="G44" s="19"/>
    </row>
    <row r="45" customFormat="false" ht="15" hidden="false" customHeight="false" outlineLevel="0" collapsed="false">
      <c r="A45" s="19" t="s">
        <v>270</v>
      </c>
      <c r="B45" s="9" t="s">
        <v>277</v>
      </c>
      <c r="C45" s="9" t="n">
        <v>8</v>
      </c>
      <c r="D45" s="9" t="s">
        <v>220</v>
      </c>
      <c r="E45" s="9" t="s">
        <v>278</v>
      </c>
      <c r="F45" s="19" t="s">
        <v>229</v>
      </c>
      <c r="G45" s="19"/>
    </row>
    <row r="46" customFormat="false" ht="15" hidden="false" customHeight="false" outlineLevel="0" collapsed="false">
      <c r="A46" s="19" t="s">
        <v>270</v>
      </c>
      <c r="B46" s="9" t="s">
        <v>228</v>
      </c>
      <c r="C46" s="9" t="n">
        <v>4</v>
      </c>
      <c r="D46" s="9" t="s">
        <v>220</v>
      </c>
      <c r="E46" s="9"/>
      <c r="F46" s="19" t="s">
        <v>229</v>
      </c>
      <c r="G46" s="19"/>
    </row>
    <row r="47" customFormat="false" ht="15" hidden="false" customHeight="false" outlineLevel="0" collapsed="false">
      <c r="A47" s="19" t="s">
        <v>279</v>
      </c>
      <c r="B47" s="16" t="s">
        <v>280</v>
      </c>
      <c r="C47" s="16" t="n">
        <v>4</v>
      </c>
      <c r="D47" s="16" t="s">
        <v>220</v>
      </c>
      <c r="E47" s="16" t="s">
        <v>281</v>
      </c>
      <c r="F47" s="19" t="s">
        <v>273</v>
      </c>
      <c r="G47" s="19"/>
    </row>
    <row r="48" customFormat="false" ht="15" hidden="false" customHeight="false" outlineLevel="0" collapsed="false">
      <c r="A48" s="19" t="s">
        <v>279</v>
      </c>
      <c r="B48" s="9" t="s">
        <v>228</v>
      </c>
      <c r="C48" s="9" t="n">
        <v>4</v>
      </c>
      <c r="D48" s="9" t="s">
        <v>220</v>
      </c>
      <c r="E48" s="9"/>
      <c r="F48" s="19" t="s">
        <v>229</v>
      </c>
      <c r="G48" s="19"/>
    </row>
    <row r="49" customFormat="false" ht="15" hidden="false" customHeight="false" outlineLevel="0" collapsed="false">
      <c r="A49" s="19" t="s">
        <v>282</v>
      </c>
      <c r="B49" s="16" t="s">
        <v>271</v>
      </c>
      <c r="C49" s="16" t="n">
        <v>4</v>
      </c>
      <c r="D49" s="16" t="s">
        <v>220</v>
      </c>
      <c r="E49" s="16" t="s">
        <v>283</v>
      </c>
      <c r="F49" s="19" t="s">
        <v>273</v>
      </c>
      <c r="G49" s="19"/>
    </row>
    <row r="50" customFormat="false" ht="15" hidden="false" customHeight="false" outlineLevel="0" collapsed="false">
      <c r="A50" s="19" t="s">
        <v>282</v>
      </c>
      <c r="B50" s="9" t="s">
        <v>274</v>
      </c>
      <c r="C50" s="9" t="n">
        <v>4</v>
      </c>
      <c r="D50" s="9" t="s">
        <v>220</v>
      </c>
      <c r="E50" s="9"/>
      <c r="F50" s="19" t="s">
        <v>229</v>
      </c>
      <c r="G50" s="19"/>
    </row>
    <row r="51" customFormat="false" ht="15" hidden="false" customHeight="false" outlineLevel="0" collapsed="false">
      <c r="A51" s="19" t="s">
        <v>282</v>
      </c>
      <c r="B51" s="9" t="s">
        <v>276</v>
      </c>
      <c r="C51" s="9" t="n">
        <v>4</v>
      </c>
      <c r="D51" s="9" t="s">
        <v>220</v>
      </c>
      <c r="E51" s="9"/>
      <c r="F51" s="19" t="s">
        <v>229</v>
      </c>
      <c r="G51" s="19"/>
    </row>
    <row r="52" customFormat="false" ht="15" hidden="false" customHeight="false" outlineLevel="0" collapsed="false">
      <c r="A52" s="19" t="s">
        <v>282</v>
      </c>
      <c r="B52" s="9" t="s">
        <v>228</v>
      </c>
      <c r="C52" s="9" t="n">
        <v>4</v>
      </c>
      <c r="D52" s="9" t="s">
        <v>220</v>
      </c>
      <c r="E52" s="9"/>
      <c r="F52" s="19" t="s">
        <v>229</v>
      </c>
      <c r="G52" s="19"/>
    </row>
    <row r="53" customFormat="false" ht="15" hidden="false" customHeight="false" outlineLevel="0" collapsed="false">
      <c r="A53" s="19" t="s">
        <v>284</v>
      </c>
      <c r="B53" s="10" t="s">
        <v>271</v>
      </c>
      <c r="C53" s="10" t="n">
        <v>4</v>
      </c>
      <c r="D53" s="10" t="s">
        <v>220</v>
      </c>
      <c r="E53" s="10" t="s">
        <v>285</v>
      </c>
      <c r="F53" s="19" t="s">
        <v>233</v>
      </c>
      <c r="G53" s="19"/>
    </row>
    <row r="54" customFormat="false" ht="15" hidden="false" customHeight="false" outlineLevel="0" collapsed="false">
      <c r="A54" s="19" t="s">
        <v>284</v>
      </c>
      <c r="B54" s="10" t="s">
        <v>274</v>
      </c>
      <c r="C54" s="10" t="n">
        <v>4</v>
      </c>
      <c r="D54" s="10" t="s">
        <v>220</v>
      </c>
      <c r="E54" s="10"/>
      <c r="F54" s="19" t="s">
        <v>233</v>
      </c>
      <c r="G54" s="19"/>
    </row>
    <row r="55" customFormat="false" ht="15" hidden="false" customHeight="false" outlineLevel="0" collapsed="false">
      <c r="A55" s="19" t="s">
        <v>284</v>
      </c>
      <c r="B55" s="9" t="s">
        <v>276</v>
      </c>
      <c r="C55" s="9" t="n">
        <v>4</v>
      </c>
      <c r="D55" s="9" t="s">
        <v>220</v>
      </c>
      <c r="E55" s="9"/>
      <c r="F55" s="19" t="s">
        <v>229</v>
      </c>
      <c r="G55" s="19"/>
    </row>
    <row r="56" customFormat="false" ht="15" hidden="false" customHeight="false" outlineLevel="0" collapsed="false">
      <c r="A56" s="19" t="s">
        <v>284</v>
      </c>
      <c r="B56" s="9" t="s">
        <v>228</v>
      </c>
      <c r="C56" s="9" t="n">
        <v>4</v>
      </c>
      <c r="D56" s="9" t="s">
        <v>220</v>
      </c>
      <c r="E56" s="9"/>
      <c r="F56" s="19" t="s">
        <v>229</v>
      </c>
      <c r="G56" s="19"/>
    </row>
    <row r="57" customFormat="false" ht="15" hidden="false" customHeight="false" outlineLevel="0" collapsed="false">
      <c r="A57" s="19" t="s">
        <v>286</v>
      </c>
      <c r="B57" s="10" t="s">
        <v>271</v>
      </c>
      <c r="C57" s="10" t="n">
        <v>4</v>
      </c>
      <c r="D57" s="10" t="s">
        <v>220</v>
      </c>
      <c r="E57" s="10" t="s">
        <v>287</v>
      </c>
      <c r="F57" s="19" t="s">
        <v>233</v>
      </c>
      <c r="G57" s="19"/>
    </row>
    <row r="58" customFormat="false" ht="15" hidden="false" customHeight="false" outlineLevel="0" collapsed="false">
      <c r="A58" s="19" t="s">
        <v>286</v>
      </c>
      <c r="B58" s="10" t="s">
        <v>274</v>
      </c>
      <c r="C58" s="10" t="n">
        <v>4</v>
      </c>
      <c r="D58" s="10" t="s">
        <v>220</v>
      </c>
      <c r="E58" s="10" t="s">
        <v>288</v>
      </c>
      <c r="F58" s="19" t="s">
        <v>233</v>
      </c>
      <c r="G58" s="19"/>
    </row>
    <row r="59" customFormat="false" ht="15" hidden="false" customHeight="false" outlineLevel="0" collapsed="false">
      <c r="A59" s="19" t="s">
        <v>286</v>
      </c>
      <c r="B59" s="9" t="s">
        <v>228</v>
      </c>
      <c r="C59" s="9" t="n">
        <v>4</v>
      </c>
      <c r="D59" s="9" t="s">
        <v>220</v>
      </c>
      <c r="E59" s="9"/>
      <c r="F59" s="19" t="s">
        <v>229</v>
      </c>
      <c r="G59" s="19"/>
    </row>
    <row r="60" customFormat="false" ht="15" hidden="false" customHeight="false" outlineLevel="0" collapsed="false">
      <c r="A60" s="19" t="s">
        <v>289</v>
      </c>
      <c r="B60" s="9" t="s">
        <v>280</v>
      </c>
      <c r="C60" s="9" t="n">
        <v>6</v>
      </c>
      <c r="D60" s="9" t="s">
        <v>220</v>
      </c>
      <c r="E60" s="9"/>
      <c r="F60" s="19" t="s">
        <v>229</v>
      </c>
      <c r="G60" s="19"/>
    </row>
    <row r="61" customFormat="false" ht="15" hidden="false" customHeight="false" outlineLevel="0" collapsed="false">
      <c r="A61" s="19" t="s">
        <v>289</v>
      </c>
      <c r="B61" s="9" t="s">
        <v>228</v>
      </c>
      <c r="C61" s="9" t="n">
        <v>6</v>
      </c>
      <c r="D61" s="9" t="s">
        <v>220</v>
      </c>
      <c r="E61" s="9"/>
      <c r="F61" s="19" t="s">
        <v>229</v>
      </c>
      <c r="G61" s="19"/>
    </row>
    <row r="62" customFormat="false" ht="15" hidden="false" customHeight="false" outlineLevel="0" collapsed="false">
      <c r="A62" s="19" t="s">
        <v>290</v>
      </c>
      <c r="B62" s="16" t="s">
        <v>271</v>
      </c>
      <c r="C62" s="16" t="n">
        <v>4</v>
      </c>
      <c r="D62" s="16" t="s">
        <v>220</v>
      </c>
      <c r="E62" s="16" t="s">
        <v>291</v>
      </c>
      <c r="F62" s="19" t="s">
        <v>273</v>
      </c>
      <c r="G62" s="19"/>
    </row>
    <row r="63" customFormat="false" ht="15" hidden="false" customHeight="false" outlineLevel="0" collapsed="false">
      <c r="A63" s="19" t="s">
        <v>290</v>
      </c>
      <c r="B63" s="16" t="s">
        <v>292</v>
      </c>
      <c r="C63" s="16" t="n">
        <v>4</v>
      </c>
      <c r="D63" s="16" t="s">
        <v>220</v>
      </c>
      <c r="E63" s="16" t="s">
        <v>293</v>
      </c>
      <c r="F63" s="19" t="s">
        <v>273</v>
      </c>
      <c r="G63" s="19"/>
    </row>
    <row r="64" customFormat="false" ht="15" hidden="false" customHeight="false" outlineLevel="0" collapsed="false">
      <c r="A64" s="19" t="s">
        <v>290</v>
      </c>
      <c r="B64" s="16" t="s">
        <v>294</v>
      </c>
      <c r="C64" s="16" t="n">
        <v>4</v>
      </c>
      <c r="D64" s="16" t="s">
        <v>220</v>
      </c>
      <c r="E64" s="16"/>
      <c r="F64" s="19" t="s">
        <v>273</v>
      </c>
      <c r="G64" s="19"/>
    </row>
    <row r="65" customFormat="false" ht="15" hidden="false" customHeight="false" outlineLevel="0" collapsed="false">
      <c r="A65" s="19" t="s">
        <v>290</v>
      </c>
      <c r="B65" s="16" t="s">
        <v>277</v>
      </c>
      <c r="C65" s="16" t="n">
        <v>4</v>
      </c>
      <c r="D65" s="16" t="s">
        <v>220</v>
      </c>
      <c r="E65" s="16" t="s">
        <v>295</v>
      </c>
      <c r="F65" s="19" t="s">
        <v>273</v>
      </c>
      <c r="G65" s="19"/>
    </row>
    <row r="66" customFormat="false" ht="15" hidden="false" customHeight="false" outlineLevel="0" collapsed="false">
      <c r="A66" s="19" t="s">
        <v>290</v>
      </c>
      <c r="B66" s="9" t="s">
        <v>252</v>
      </c>
      <c r="C66" s="9" t="n">
        <v>0.1</v>
      </c>
      <c r="D66" s="9" t="s">
        <v>253</v>
      </c>
      <c r="E66" s="9" t="s">
        <v>296</v>
      </c>
      <c r="F66" s="19" t="s">
        <v>229</v>
      </c>
      <c r="G66" s="19"/>
    </row>
    <row r="67" customFormat="false" ht="15" hidden="false" customHeight="false" outlineLevel="0" collapsed="false">
      <c r="A67" s="19" t="s">
        <v>290</v>
      </c>
      <c r="B67" s="9" t="s">
        <v>228</v>
      </c>
      <c r="C67" s="9" t="n">
        <v>1</v>
      </c>
      <c r="D67" s="9" t="s">
        <v>220</v>
      </c>
      <c r="E67" s="9" t="s">
        <v>297</v>
      </c>
      <c r="F67" s="19" t="s">
        <v>229</v>
      </c>
      <c r="G67" s="19"/>
    </row>
    <row r="68" customFormat="false" ht="15" hidden="false" customHeight="false" outlineLevel="0" collapsed="false">
      <c r="A68" s="19" t="s">
        <v>298</v>
      </c>
      <c r="B68" s="9" t="s">
        <v>280</v>
      </c>
      <c r="C68" s="9" t="n">
        <v>4</v>
      </c>
      <c r="D68" s="9" t="s">
        <v>220</v>
      </c>
      <c r="E68" s="9"/>
      <c r="F68" s="19" t="s">
        <v>229</v>
      </c>
      <c r="G68" s="19"/>
    </row>
    <row r="69" customFormat="false" ht="15" hidden="false" customHeight="false" outlineLevel="0" collapsed="false">
      <c r="A69" s="19" t="s">
        <v>298</v>
      </c>
      <c r="B69" s="9" t="s">
        <v>228</v>
      </c>
      <c r="C69" s="9" t="n">
        <v>4</v>
      </c>
      <c r="D69" s="9" t="s">
        <v>220</v>
      </c>
      <c r="E69" s="9"/>
      <c r="F69" s="19" t="s">
        <v>229</v>
      </c>
      <c r="G69" s="19"/>
    </row>
    <row r="70" customFormat="false" ht="15" hidden="false" customHeight="false" outlineLevel="0" collapsed="false">
      <c r="A70" s="19" t="s">
        <v>299</v>
      </c>
      <c r="B70" s="9" t="s">
        <v>280</v>
      </c>
      <c r="C70" s="9" t="n">
        <v>4</v>
      </c>
      <c r="D70" s="9" t="s">
        <v>220</v>
      </c>
      <c r="E70" s="9"/>
      <c r="F70" s="19" t="s">
        <v>229</v>
      </c>
      <c r="G70" s="19"/>
    </row>
    <row r="71" customFormat="false" ht="15" hidden="false" customHeight="false" outlineLevel="0" collapsed="false">
      <c r="A71" s="19" t="s">
        <v>299</v>
      </c>
      <c r="B71" s="9" t="s">
        <v>228</v>
      </c>
      <c r="C71" s="9" t="n">
        <v>4</v>
      </c>
      <c r="D71" s="9" t="s">
        <v>220</v>
      </c>
      <c r="E71" s="9" t="s">
        <v>300</v>
      </c>
      <c r="F71" s="19" t="s">
        <v>229</v>
      </c>
      <c r="G71" s="19"/>
    </row>
    <row r="72" customFormat="false" ht="15" hidden="false" customHeight="false" outlineLevel="0" collapsed="false">
      <c r="A72" s="19" t="s">
        <v>301</v>
      </c>
      <c r="B72" s="9" t="s">
        <v>271</v>
      </c>
      <c r="C72" s="9" t="n">
        <v>4</v>
      </c>
      <c r="D72" s="9" t="s">
        <v>220</v>
      </c>
      <c r="E72" s="9" t="s">
        <v>302</v>
      </c>
      <c r="F72" s="19" t="s">
        <v>229</v>
      </c>
      <c r="G72" s="19"/>
    </row>
    <row r="73" customFormat="false" ht="15" hidden="false" customHeight="false" outlineLevel="0" collapsed="false">
      <c r="A73" s="19" t="s">
        <v>301</v>
      </c>
      <c r="B73" s="9" t="s">
        <v>274</v>
      </c>
      <c r="C73" s="9" t="n">
        <v>4</v>
      </c>
      <c r="D73" s="9" t="s">
        <v>220</v>
      </c>
      <c r="E73" s="9"/>
      <c r="F73" s="19" t="s">
        <v>229</v>
      </c>
      <c r="G73" s="19"/>
    </row>
    <row r="74" customFormat="false" ht="15" hidden="false" customHeight="false" outlineLevel="0" collapsed="false">
      <c r="A74" s="19" t="s">
        <v>301</v>
      </c>
      <c r="B74" s="9" t="s">
        <v>276</v>
      </c>
      <c r="C74" s="9" t="n">
        <v>4</v>
      </c>
      <c r="D74" s="9" t="s">
        <v>220</v>
      </c>
      <c r="E74" s="9"/>
      <c r="F74" s="19" t="s">
        <v>229</v>
      </c>
      <c r="G74" s="19"/>
    </row>
    <row r="75" customFormat="false" ht="15" hidden="false" customHeight="false" outlineLevel="0" collapsed="false">
      <c r="A75" s="19" t="s">
        <v>301</v>
      </c>
      <c r="B75" s="9" t="s">
        <v>228</v>
      </c>
      <c r="C75" s="9" t="n">
        <v>4</v>
      </c>
      <c r="D75" s="9" t="s">
        <v>220</v>
      </c>
      <c r="E75" s="9"/>
      <c r="F75" s="19" t="s">
        <v>229</v>
      </c>
      <c r="G75" s="19"/>
    </row>
    <row r="76" customFormat="false" ht="15" hidden="false" customHeight="false" outlineLevel="0" collapsed="false">
      <c r="A76" s="19" t="s">
        <v>303</v>
      </c>
      <c r="B76" s="16" t="s">
        <v>271</v>
      </c>
      <c r="C76" s="16" t="n">
        <v>4</v>
      </c>
      <c r="D76" s="16" t="s">
        <v>220</v>
      </c>
      <c r="E76" s="16" t="s">
        <v>304</v>
      </c>
      <c r="F76" s="19" t="s">
        <v>273</v>
      </c>
      <c r="G76" s="19"/>
    </row>
    <row r="77" customFormat="false" ht="15" hidden="false" customHeight="false" outlineLevel="0" collapsed="false">
      <c r="A77" s="19" t="s">
        <v>303</v>
      </c>
      <c r="B77" s="16" t="s">
        <v>274</v>
      </c>
      <c r="C77" s="16" t="n">
        <v>4</v>
      </c>
      <c r="D77" s="16" t="s">
        <v>220</v>
      </c>
      <c r="E77" s="16" t="s">
        <v>305</v>
      </c>
      <c r="F77" s="19" t="s">
        <v>273</v>
      </c>
      <c r="G77" s="19"/>
    </row>
    <row r="78" customFormat="false" ht="15" hidden="false" customHeight="false" outlineLevel="0" collapsed="false">
      <c r="A78" s="19" t="s">
        <v>303</v>
      </c>
      <c r="B78" s="9" t="s">
        <v>252</v>
      </c>
      <c r="C78" s="9" t="n">
        <v>0.2</v>
      </c>
      <c r="D78" s="9" t="s">
        <v>253</v>
      </c>
      <c r="E78" s="9" t="s">
        <v>306</v>
      </c>
      <c r="F78" s="19" t="s">
        <v>229</v>
      </c>
      <c r="G78" s="19"/>
    </row>
    <row r="79" customFormat="false" ht="15" hidden="false" customHeight="false" outlineLevel="0" collapsed="false">
      <c r="A79" s="19" t="s">
        <v>303</v>
      </c>
      <c r="B79" s="9" t="s">
        <v>228</v>
      </c>
      <c r="C79" s="9" t="n">
        <v>4</v>
      </c>
      <c r="D79" s="9" t="s">
        <v>220</v>
      </c>
      <c r="E79" s="9"/>
      <c r="F79" s="19" t="s">
        <v>229</v>
      </c>
      <c r="G79" s="19"/>
    </row>
    <row r="80" customFormat="false" ht="15" hidden="false" customHeight="false" outlineLevel="0" collapsed="false">
      <c r="A80" s="19" t="s">
        <v>307</v>
      </c>
      <c r="B80" s="16" t="s">
        <v>280</v>
      </c>
      <c r="C80" s="16" t="n">
        <v>4</v>
      </c>
      <c r="D80" s="16" t="s">
        <v>220</v>
      </c>
      <c r="E80" s="16" t="s">
        <v>308</v>
      </c>
      <c r="F80" s="19" t="s">
        <v>273</v>
      </c>
      <c r="G80" s="19"/>
    </row>
    <row r="81" customFormat="false" ht="15" hidden="false" customHeight="false" outlineLevel="0" collapsed="false">
      <c r="A81" s="19" t="s">
        <v>307</v>
      </c>
      <c r="B81" s="9" t="s">
        <v>252</v>
      </c>
      <c r="C81" s="9" t="n">
        <v>0.15</v>
      </c>
      <c r="D81" s="9" t="s">
        <v>253</v>
      </c>
      <c r="E81" s="9"/>
      <c r="F81" s="19" t="s">
        <v>229</v>
      </c>
      <c r="G81" s="19"/>
    </row>
    <row r="82" customFormat="false" ht="15" hidden="false" customHeight="false" outlineLevel="0" collapsed="false">
      <c r="A82" s="19" t="s">
        <v>307</v>
      </c>
      <c r="B82" s="9" t="s">
        <v>228</v>
      </c>
      <c r="C82" s="9" t="n">
        <v>4</v>
      </c>
      <c r="D82" s="9" t="s">
        <v>220</v>
      </c>
      <c r="E82" s="9"/>
      <c r="F82" s="19" t="s">
        <v>229</v>
      </c>
      <c r="G82" s="19"/>
    </row>
    <row r="83" customFormat="false" ht="15" hidden="false" customHeight="false" outlineLevel="0" collapsed="false">
      <c r="A83" s="19" t="s">
        <v>309</v>
      </c>
      <c r="B83" s="9" t="s">
        <v>310</v>
      </c>
      <c r="C83" s="9" t="n">
        <v>8</v>
      </c>
      <c r="D83" s="9" t="s">
        <v>220</v>
      </c>
      <c r="E83" s="9" t="s">
        <v>311</v>
      </c>
      <c r="F83" s="19" t="s">
        <v>229</v>
      </c>
      <c r="G83" s="19"/>
    </row>
    <row r="84" customFormat="false" ht="15" hidden="false" customHeight="false" outlineLevel="0" collapsed="false">
      <c r="A84" s="19" t="s">
        <v>312</v>
      </c>
      <c r="B84" s="9" t="s">
        <v>277</v>
      </c>
      <c r="C84" s="9" t="n">
        <v>6</v>
      </c>
      <c r="D84" s="9" t="s">
        <v>220</v>
      </c>
      <c r="E84" s="9"/>
      <c r="F84" s="19" t="s">
        <v>229</v>
      </c>
      <c r="G84" s="19"/>
    </row>
    <row r="85" customFormat="false" ht="15" hidden="false" customHeight="false" outlineLevel="0" collapsed="false">
      <c r="A85" s="19" t="s">
        <v>313</v>
      </c>
      <c r="B85" s="9" t="s">
        <v>310</v>
      </c>
      <c r="C85" s="9" t="n">
        <v>8</v>
      </c>
      <c r="D85" s="9" t="s">
        <v>220</v>
      </c>
      <c r="E85" s="9"/>
      <c r="F85" s="19" t="s">
        <v>229</v>
      </c>
      <c r="G85" s="19"/>
    </row>
    <row r="86" customFormat="false" ht="15" hidden="false" customHeight="false" outlineLevel="0" collapsed="false">
      <c r="A86" s="19" t="s">
        <v>314</v>
      </c>
      <c r="B86" s="9" t="s">
        <v>277</v>
      </c>
      <c r="C86" s="9" t="n">
        <v>6</v>
      </c>
      <c r="D86" s="9" t="s">
        <v>220</v>
      </c>
      <c r="E86" s="9"/>
      <c r="F86" s="19" t="s">
        <v>229</v>
      </c>
      <c r="G86" s="19"/>
    </row>
    <row r="87" customFormat="false" ht="15" hidden="false" customHeight="false" outlineLevel="0" collapsed="false">
      <c r="A87" s="19" t="s">
        <v>315</v>
      </c>
      <c r="B87" s="9" t="s">
        <v>277</v>
      </c>
      <c r="C87" s="9" t="n">
        <v>4</v>
      </c>
      <c r="D87" s="9" t="s">
        <v>220</v>
      </c>
      <c r="E87" s="9"/>
      <c r="F87" s="19" t="s">
        <v>229</v>
      </c>
      <c r="G87" s="19"/>
    </row>
    <row r="88" customFormat="false" ht="15" hidden="false" customHeight="false" outlineLevel="0" collapsed="false">
      <c r="A88" s="19" t="s">
        <v>316</v>
      </c>
      <c r="B88" s="9" t="s">
        <v>277</v>
      </c>
      <c r="C88" s="9" t="n">
        <v>4</v>
      </c>
      <c r="D88" s="9" t="s">
        <v>220</v>
      </c>
      <c r="E88" s="9"/>
      <c r="F88" s="19" t="s">
        <v>229</v>
      </c>
      <c r="G88" s="19"/>
    </row>
    <row r="89" customFormat="false" ht="15" hidden="false" customHeight="false" outlineLevel="0" collapsed="false">
      <c r="A89" s="19" t="s">
        <v>317</v>
      </c>
      <c r="B89" s="9" t="s">
        <v>277</v>
      </c>
      <c r="C89" s="9" t="n">
        <v>4</v>
      </c>
      <c r="D89" s="9" t="s">
        <v>220</v>
      </c>
      <c r="E89" s="9"/>
      <c r="F89" s="19" t="s">
        <v>229</v>
      </c>
      <c r="G89" s="19"/>
    </row>
    <row r="90" customFormat="false" ht="15" hidden="false" customHeight="false" outlineLevel="0" collapsed="false">
      <c r="A90" s="19" t="s">
        <v>317</v>
      </c>
      <c r="B90" s="9" t="s">
        <v>228</v>
      </c>
      <c r="C90" s="9" t="n">
        <v>1</v>
      </c>
      <c r="D90" s="9" t="s">
        <v>220</v>
      </c>
      <c r="E90" s="9"/>
      <c r="F90" s="19" t="s">
        <v>229</v>
      </c>
      <c r="G90" s="19"/>
    </row>
    <row r="91" customFormat="false" ht="15" hidden="false" customHeight="false" outlineLevel="0" collapsed="false">
      <c r="A91" s="17" t="s">
        <v>318</v>
      </c>
      <c r="B91" s="18"/>
      <c r="C91" s="18"/>
      <c r="D91" s="18"/>
      <c r="E91" s="18"/>
      <c r="F91" s="18"/>
      <c r="G91" s="18"/>
    </row>
    <row r="92" customFormat="false" ht="15" hidden="false" customHeight="false" outlineLevel="0" collapsed="false">
      <c r="A92" s="19" t="s">
        <v>319</v>
      </c>
      <c r="B92" s="9" t="s">
        <v>320</v>
      </c>
      <c r="C92" s="9" t="n">
        <v>1</v>
      </c>
      <c r="D92" s="9" t="s">
        <v>220</v>
      </c>
      <c r="E92" s="9" t="s">
        <v>321</v>
      </c>
      <c r="F92" s="19" t="s">
        <v>229</v>
      </c>
      <c r="G92" s="19"/>
    </row>
    <row r="93" customFormat="false" ht="15" hidden="false" customHeight="false" outlineLevel="0" collapsed="false">
      <c r="A93" s="19" t="s">
        <v>319</v>
      </c>
      <c r="B93" s="9" t="s">
        <v>322</v>
      </c>
      <c r="C93" s="9" t="n">
        <v>4</v>
      </c>
      <c r="D93" s="9" t="s">
        <v>220</v>
      </c>
      <c r="E93" s="9" t="s">
        <v>321</v>
      </c>
      <c r="F93" s="19" t="s">
        <v>229</v>
      </c>
      <c r="G93" s="19"/>
    </row>
    <row r="94" customFormat="false" ht="15" hidden="false" customHeight="false" outlineLevel="0" collapsed="false">
      <c r="A94" s="19" t="s">
        <v>319</v>
      </c>
      <c r="B94" s="9" t="s">
        <v>323</v>
      </c>
      <c r="C94" s="9" t="n">
        <v>15</v>
      </c>
      <c r="D94" s="9" t="s">
        <v>242</v>
      </c>
      <c r="E94" s="9" t="s">
        <v>321</v>
      </c>
      <c r="F94" s="19" t="s">
        <v>229</v>
      </c>
      <c r="G94" s="19"/>
    </row>
    <row r="95" customFormat="false" ht="15" hidden="false" customHeight="false" outlineLevel="0" collapsed="false">
      <c r="A95" s="19" t="s">
        <v>319</v>
      </c>
      <c r="B95" s="9" t="s">
        <v>324</v>
      </c>
      <c r="C95" s="9" t="n">
        <v>3</v>
      </c>
      <c r="D95" s="9" t="s">
        <v>242</v>
      </c>
      <c r="E95" s="9" t="s">
        <v>321</v>
      </c>
      <c r="F95" s="19" t="s">
        <v>229</v>
      </c>
      <c r="G95" s="19"/>
    </row>
    <row r="96" customFormat="false" ht="15" hidden="false" customHeight="false" outlineLevel="0" collapsed="false">
      <c r="A96" s="19" t="s">
        <v>325</v>
      </c>
      <c r="B96" s="10" t="s">
        <v>241</v>
      </c>
      <c r="C96" s="10"/>
      <c r="D96" s="10" t="s">
        <v>242</v>
      </c>
      <c r="E96" s="10" t="s">
        <v>326</v>
      </c>
      <c r="F96" s="19" t="s">
        <v>222</v>
      </c>
      <c r="G96" s="19" t="s">
        <v>327</v>
      </c>
    </row>
    <row r="97" customFormat="false" ht="15" hidden="false" customHeight="false" outlineLevel="0" collapsed="false">
      <c r="A97" s="19" t="s">
        <v>325</v>
      </c>
      <c r="B97" s="10" t="s">
        <v>245</v>
      </c>
      <c r="C97" s="10" t="n">
        <v>1</v>
      </c>
      <c r="D97" s="10" t="s">
        <v>220</v>
      </c>
      <c r="E97" s="10" t="s">
        <v>328</v>
      </c>
      <c r="F97" s="19" t="s">
        <v>222</v>
      </c>
      <c r="G97" s="19"/>
    </row>
    <row r="98" customFormat="false" ht="15" hidden="false" customHeight="false" outlineLevel="0" collapsed="false">
      <c r="A98" s="19" t="s">
        <v>325</v>
      </c>
      <c r="B98" s="9" t="s">
        <v>247</v>
      </c>
      <c r="C98" s="9" t="n">
        <v>1</v>
      </c>
      <c r="D98" s="9" t="s">
        <v>248</v>
      </c>
      <c r="E98" s="9"/>
      <c r="F98" s="19" t="s">
        <v>229</v>
      </c>
      <c r="G98" s="19"/>
    </row>
    <row r="99" customFormat="false" ht="15" hidden="false" customHeight="false" outlineLevel="0" collapsed="false">
      <c r="A99" s="19" t="s">
        <v>329</v>
      </c>
      <c r="B99" s="10" t="s">
        <v>219</v>
      </c>
      <c r="C99" s="10" t="n">
        <v>2</v>
      </c>
      <c r="D99" s="10" t="s">
        <v>220</v>
      </c>
      <c r="E99" s="10" t="s">
        <v>330</v>
      </c>
      <c r="F99" s="19" t="s">
        <v>222</v>
      </c>
      <c r="G99" s="19" t="s">
        <v>331</v>
      </c>
    </row>
    <row r="100" customFormat="false" ht="15" hidden="false" customHeight="false" outlineLevel="0" collapsed="false">
      <c r="A100" s="19" t="s">
        <v>329</v>
      </c>
      <c r="B100" s="10" t="s">
        <v>224</v>
      </c>
      <c r="C100" s="10" t="n">
        <v>1</v>
      </c>
      <c r="D100" s="10" t="s">
        <v>220</v>
      </c>
      <c r="E100" s="10" t="s">
        <v>332</v>
      </c>
      <c r="F100" s="19" t="s">
        <v>222</v>
      </c>
      <c r="G100" s="19"/>
    </row>
    <row r="101" customFormat="false" ht="15" hidden="false" customHeight="false" outlineLevel="0" collapsed="false">
      <c r="A101" s="19" t="s">
        <v>329</v>
      </c>
      <c r="B101" s="10" t="s">
        <v>226</v>
      </c>
      <c r="C101" s="10" t="n">
        <v>1</v>
      </c>
      <c r="D101" s="10" t="s">
        <v>220</v>
      </c>
      <c r="E101" s="10" t="s">
        <v>333</v>
      </c>
      <c r="F101" s="19" t="s">
        <v>222</v>
      </c>
      <c r="G101" s="19"/>
    </row>
    <row r="102" customFormat="false" ht="15" hidden="false" customHeight="false" outlineLevel="0" collapsed="false">
      <c r="A102" s="20"/>
      <c r="B102" s="20"/>
      <c r="C102" s="20"/>
      <c r="D102" s="20"/>
      <c r="E102" s="20"/>
      <c r="F102" s="20"/>
      <c r="G102" s="20"/>
    </row>
    <row r="103" customFormat="false" ht="15" hidden="false" customHeight="false" outlineLevel="0" collapsed="false">
      <c r="A103" s="20"/>
      <c r="B103" s="20"/>
      <c r="C103" s="20"/>
      <c r="D103" s="20"/>
      <c r="E103" s="20"/>
      <c r="F103" s="20"/>
      <c r="G103" s="20"/>
    </row>
    <row r="104" customFormat="false" ht="15" hidden="false" customHeight="false" outlineLevel="0" collapsed="false">
      <c r="A104" s="20"/>
      <c r="B104" s="20"/>
      <c r="C104" s="20"/>
      <c r="D104" s="20"/>
      <c r="E104" s="20"/>
      <c r="F104" s="20"/>
      <c r="G104" s="20"/>
    </row>
    <row r="105" customFormat="false" ht="15" hidden="false" customHeight="false" outlineLevel="0" collapsed="false">
      <c r="A105" s="20"/>
      <c r="B105" s="20"/>
      <c r="C105" s="20"/>
      <c r="D105" s="20"/>
      <c r="E105" s="20"/>
      <c r="F105" s="20"/>
      <c r="G105" s="20"/>
    </row>
    <row r="106" customFormat="false" ht="15" hidden="false" customHeight="false" outlineLevel="0" collapsed="false">
      <c r="A106" s="20"/>
      <c r="B106" s="20"/>
      <c r="C106" s="20"/>
      <c r="D106" s="20"/>
      <c r="E106" s="20"/>
      <c r="F106" s="20"/>
      <c r="G106" s="20"/>
    </row>
    <row r="107" customFormat="false" ht="15" hidden="false" customHeight="false" outlineLevel="0" collapsed="false">
      <c r="A107" s="20"/>
      <c r="B107" s="20"/>
      <c r="C107" s="20"/>
      <c r="D107" s="20"/>
      <c r="E107" s="20"/>
      <c r="F107" s="20"/>
      <c r="G107" s="20"/>
    </row>
    <row r="108" customFormat="false" ht="15" hidden="false" customHeight="false" outlineLevel="0" collapsed="false">
      <c r="A108" s="20"/>
      <c r="B108" s="20"/>
      <c r="C108" s="20"/>
      <c r="D108" s="20"/>
      <c r="E108" s="20"/>
      <c r="F108" s="20"/>
      <c r="G108" s="20"/>
    </row>
    <row r="109" customFormat="false" ht="15" hidden="false" customHeight="false" outlineLevel="0" collapsed="false">
      <c r="A109" s="20"/>
      <c r="B109" s="20"/>
      <c r="C109" s="20"/>
      <c r="D109" s="20"/>
      <c r="E109" s="20"/>
      <c r="F109" s="20"/>
      <c r="G109" s="20"/>
    </row>
    <row r="110" customFormat="false" ht="15" hidden="false" customHeight="false" outlineLevel="0" collapsed="false">
      <c r="A110" s="20"/>
      <c r="B110" s="20"/>
      <c r="C110" s="20"/>
      <c r="D110" s="20"/>
      <c r="E110" s="20"/>
      <c r="F110" s="20"/>
      <c r="G110" s="20"/>
    </row>
    <row r="111" customFormat="false" ht="15" hidden="false" customHeight="false" outlineLevel="0" collapsed="false">
      <c r="A111" s="20"/>
      <c r="B111" s="20"/>
      <c r="C111" s="20"/>
      <c r="D111" s="20"/>
      <c r="E111" s="20"/>
      <c r="F111" s="20"/>
      <c r="G111" s="20"/>
    </row>
    <row r="112" customFormat="false" ht="15" hidden="false" customHeight="false" outlineLevel="0" collapsed="false">
      <c r="A112" s="20"/>
      <c r="B112" s="20"/>
      <c r="C112" s="20"/>
      <c r="D112" s="20"/>
      <c r="E112" s="20"/>
      <c r="F112" s="20"/>
      <c r="G112" s="20"/>
    </row>
    <row r="113" customFormat="false" ht="15" hidden="false" customHeight="false" outlineLevel="0" collapsed="false">
      <c r="A113" s="20"/>
      <c r="B113" s="20"/>
      <c r="C113" s="20"/>
      <c r="D113" s="20"/>
      <c r="E113" s="20"/>
      <c r="F113" s="20"/>
      <c r="G113" s="20"/>
    </row>
    <row r="114" customFormat="false" ht="15" hidden="false" customHeight="false" outlineLevel="0" collapsed="false">
      <c r="A114" s="20"/>
      <c r="B114" s="20"/>
      <c r="C114" s="20"/>
      <c r="D114" s="20"/>
      <c r="E114" s="20"/>
      <c r="F114" s="20"/>
      <c r="G114" s="20"/>
    </row>
    <row r="115" customFormat="false" ht="15" hidden="false" customHeight="false" outlineLevel="0" collapsed="false">
      <c r="A115" s="20"/>
      <c r="B115" s="20"/>
      <c r="C115" s="20"/>
      <c r="D115" s="20"/>
      <c r="E115" s="20"/>
      <c r="F115" s="20"/>
      <c r="G115" s="20"/>
    </row>
    <row r="116" customFormat="false" ht="15" hidden="false" customHeight="false" outlineLevel="0" collapsed="false">
      <c r="A116" s="20"/>
      <c r="B116" s="20"/>
      <c r="C116" s="20"/>
      <c r="D116" s="20"/>
      <c r="E116" s="20"/>
      <c r="F116" s="20"/>
      <c r="G116" s="20"/>
    </row>
    <row r="117" customFormat="false" ht="15" hidden="false" customHeight="false" outlineLevel="0" collapsed="false">
      <c r="A117" s="20"/>
      <c r="B117" s="20"/>
      <c r="C117" s="20"/>
      <c r="D117" s="20"/>
      <c r="E117" s="20"/>
      <c r="F117" s="20"/>
      <c r="G117" s="20"/>
    </row>
    <row r="118" customFormat="false" ht="15" hidden="false" customHeight="false" outlineLevel="0" collapsed="false">
      <c r="A118" s="20"/>
      <c r="B118" s="20"/>
      <c r="C118" s="20"/>
      <c r="D118" s="20"/>
      <c r="E118" s="20"/>
      <c r="F118" s="20"/>
      <c r="G118" s="20"/>
    </row>
    <row r="119" customFormat="false" ht="15" hidden="false" customHeight="false" outlineLevel="0" collapsed="false">
      <c r="A119" s="20"/>
      <c r="B119" s="20"/>
      <c r="C119" s="20"/>
      <c r="D119" s="20"/>
      <c r="E119" s="20"/>
      <c r="F119" s="20"/>
      <c r="G119" s="20"/>
    </row>
    <row r="120" customFormat="false" ht="15" hidden="false" customHeight="false" outlineLevel="0" collapsed="false">
      <c r="A120" s="20"/>
      <c r="B120" s="20"/>
      <c r="C120" s="20"/>
      <c r="D120" s="20"/>
      <c r="E120" s="20"/>
      <c r="F120" s="20"/>
      <c r="G120" s="20"/>
    </row>
    <row r="121" customFormat="false" ht="15" hidden="false" customHeight="false" outlineLevel="0" collapsed="false">
      <c r="A121" s="20"/>
      <c r="B121" s="20"/>
      <c r="C121" s="20"/>
      <c r="D121" s="20"/>
      <c r="E121" s="20"/>
      <c r="F121" s="20"/>
      <c r="G121" s="20"/>
    </row>
    <row r="122" customFormat="false" ht="15" hidden="false" customHeight="false" outlineLevel="0" collapsed="false">
      <c r="A122" s="20"/>
      <c r="B122" s="20"/>
      <c r="C122" s="20"/>
      <c r="D122" s="20"/>
      <c r="E122" s="20"/>
      <c r="F122" s="20"/>
      <c r="G122" s="20"/>
    </row>
    <row r="123" customFormat="false" ht="15" hidden="false" customHeight="false" outlineLevel="0" collapsed="false">
      <c r="A123" s="20"/>
      <c r="B123" s="20"/>
      <c r="C123" s="20"/>
      <c r="D123" s="20"/>
      <c r="E123" s="20"/>
      <c r="F123" s="20"/>
      <c r="G123" s="20"/>
    </row>
    <row r="124" customFormat="false" ht="15" hidden="false" customHeight="false" outlineLevel="0" collapsed="false">
      <c r="A124" s="20"/>
      <c r="B124" s="20"/>
      <c r="C124" s="20"/>
      <c r="D124" s="20"/>
      <c r="E124" s="20"/>
      <c r="F124" s="20"/>
      <c r="G124" s="20"/>
    </row>
    <row r="125" customFormat="false" ht="15" hidden="false" customHeight="false" outlineLevel="0" collapsed="false">
      <c r="A125" s="20"/>
      <c r="B125" s="20"/>
      <c r="C125" s="20"/>
      <c r="D125" s="20"/>
      <c r="E125" s="20"/>
      <c r="F125" s="20"/>
      <c r="G125" s="20"/>
    </row>
    <row r="126" customFormat="false" ht="15" hidden="false" customHeight="false" outlineLevel="0" collapsed="false">
      <c r="A126" s="20"/>
      <c r="B126" s="20"/>
      <c r="C126" s="20"/>
      <c r="D126" s="20"/>
      <c r="E126" s="20"/>
      <c r="F126" s="20"/>
      <c r="G126" s="20"/>
    </row>
    <row r="127" customFormat="false" ht="15" hidden="false" customHeight="false" outlineLevel="0" collapsed="false">
      <c r="A127" s="20"/>
      <c r="B127" s="20"/>
      <c r="C127" s="20"/>
      <c r="D127" s="20"/>
      <c r="E127" s="20"/>
      <c r="F127" s="20"/>
      <c r="G127" s="20"/>
    </row>
    <row r="128" customFormat="false" ht="15" hidden="false" customHeight="false" outlineLevel="0" collapsed="false">
      <c r="A128" s="20"/>
      <c r="B128" s="20"/>
      <c r="C128" s="20"/>
      <c r="D128" s="20"/>
      <c r="E128" s="20"/>
      <c r="F128" s="20"/>
      <c r="G128" s="20"/>
    </row>
    <row r="129" customFormat="false" ht="15" hidden="false" customHeight="false" outlineLevel="0" collapsed="false">
      <c r="A129" s="20"/>
      <c r="B129" s="20"/>
      <c r="C129" s="20"/>
      <c r="D129" s="20"/>
      <c r="E129" s="20"/>
      <c r="F129" s="20"/>
      <c r="G129" s="20"/>
    </row>
    <row r="130" customFormat="false" ht="15" hidden="false" customHeight="false" outlineLevel="0" collapsed="false">
      <c r="A130" s="20"/>
      <c r="B130" s="20"/>
      <c r="C130" s="20"/>
      <c r="D130" s="20"/>
      <c r="E130" s="20"/>
      <c r="F130" s="20"/>
      <c r="G130" s="20"/>
    </row>
    <row r="131" customFormat="false" ht="15" hidden="false" customHeight="false" outlineLevel="0" collapsed="false">
      <c r="A131" s="20"/>
      <c r="B131" s="20"/>
      <c r="C131" s="20"/>
      <c r="D131" s="20"/>
      <c r="E131" s="20"/>
      <c r="F131" s="20"/>
      <c r="G131" s="20"/>
    </row>
    <row r="132" customFormat="false" ht="15" hidden="false" customHeight="false" outlineLevel="0" collapsed="false">
      <c r="A132" s="20"/>
      <c r="B132" s="20"/>
      <c r="C132" s="20"/>
      <c r="D132" s="20"/>
      <c r="E132" s="20"/>
      <c r="F132" s="20"/>
      <c r="G132" s="20"/>
    </row>
    <row r="133" customFormat="false" ht="15" hidden="false" customHeight="false" outlineLevel="0" collapsed="false">
      <c r="A133" s="20"/>
      <c r="B133" s="20"/>
      <c r="C133" s="20"/>
      <c r="D133" s="20"/>
      <c r="E133" s="20"/>
      <c r="F133" s="20"/>
      <c r="G133" s="20"/>
    </row>
    <row r="134" customFormat="false" ht="15" hidden="false" customHeight="false" outlineLevel="0" collapsed="false">
      <c r="A134" s="20"/>
      <c r="B134" s="20"/>
      <c r="C134" s="20"/>
      <c r="D134" s="20"/>
      <c r="E134" s="20"/>
      <c r="F134" s="20"/>
      <c r="G134" s="20"/>
    </row>
    <row r="135" customFormat="false" ht="15" hidden="false" customHeight="false" outlineLevel="0" collapsed="false">
      <c r="A135" s="20"/>
      <c r="B135" s="20"/>
      <c r="C135" s="20"/>
      <c r="D135" s="20"/>
      <c r="E135" s="20"/>
      <c r="F135" s="20"/>
      <c r="G135" s="20"/>
    </row>
    <row r="136" customFormat="false" ht="15" hidden="false" customHeight="false" outlineLevel="0" collapsed="false">
      <c r="A136" s="20"/>
      <c r="B136" s="20"/>
      <c r="C136" s="20"/>
      <c r="D136" s="20"/>
      <c r="E136" s="20"/>
      <c r="F136" s="20"/>
      <c r="G136" s="20"/>
    </row>
    <row r="137" customFormat="false" ht="15" hidden="false" customHeight="false" outlineLevel="0" collapsed="false">
      <c r="A137" s="20"/>
      <c r="B137" s="20"/>
      <c r="C137" s="20"/>
      <c r="D137" s="20"/>
      <c r="E137" s="20"/>
      <c r="F137" s="20"/>
      <c r="G137" s="20"/>
    </row>
    <row r="138" customFormat="false" ht="15" hidden="false" customHeight="false" outlineLevel="0" collapsed="false">
      <c r="A138" s="20"/>
      <c r="B138" s="20"/>
      <c r="C138" s="20"/>
      <c r="D138" s="20"/>
      <c r="E138" s="20"/>
      <c r="F138" s="20"/>
      <c r="G138" s="20"/>
    </row>
    <row r="139" customFormat="false" ht="15" hidden="false" customHeight="false" outlineLevel="0" collapsed="false">
      <c r="A139" s="20"/>
      <c r="B139" s="20"/>
      <c r="C139" s="20"/>
      <c r="D139" s="20"/>
      <c r="E139" s="20"/>
      <c r="F139" s="20"/>
      <c r="G139" s="20"/>
    </row>
    <row r="140" customFormat="false" ht="15" hidden="false" customHeight="false" outlineLevel="0" collapsed="false">
      <c r="A140" s="20"/>
      <c r="B140" s="20"/>
      <c r="C140" s="20"/>
      <c r="D140" s="20"/>
      <c r="E140" s="20"/>
      <c r="F140" s="20"/>
      <c r="G140" s="20"/>
    </row>
    <row r="141" customFormat="false" ht="15" hidden="false" customHeight="false" outlineLevel="0" collapsed="false">
      <c r="A141" s="20"/>
      <c r="B141" s="20"/>
      <c r="C141" s="20"/>
      <c r="D141" s="20"/>
      <c r="E141" s="20"/>
      <c r="F141" s="20"/>
      <c r="G141" s="20"/>
    </row>
    <row r="142" customFormat="false" ht="15" hidden="false" customHeight="false" outlineLevel="0" collapsed="false">
      <c r="A142" s="20"/>
      <c r="B142" s="20"/>
      <c r="C142" s="20"/>
      <c r="D142" s="20"/>
      <c r="E142" s="20"/>
      <c r="F142" s="20"/>
      <c r="G142" s="20"/>
    </row>
    <row r="143" customFormat="false" ht="15" hidden="false" customHeight="false" outlineLevel="0" collapsed="false">
      <c r="A143" s="20"/>
      <c r="B143" s="20"/>
      <c r="C143" s="20"/>
      <c r="D143" s="20"/>
      <c r="E143" s="20"/>
      <c r="F143" s="20"/>
      <c r="G143" s="20"/>
    </row>
    <row r="144" customFormat="false" ht="15" hidden="false" customHeight="false" outlineLevel="0" collapsed="false">
      <c r="A144" s="20"/>
      <c r="B144" s="20"/>
      <c r="C144" s="20"/>
      <c r="D144" s="20"/>
      <c r="E144" s="20"/>
      <c r="F144" s="20"/>
      <c r="G144" s="20"/>
    </row>
    <row r="145" customFormat="false" ht="15" hidden="false" customHeight="false" outlineLevel="0" collapsed="false">
      <c r="A145" s="20"/>
      <c r="B145" s="20"/>
      <c r="C145" s="20"/>
      <c r="D145" s="20"/>
      <c r="E145" s="20"/>
      <c r="F145" s="20"/>
      <c r="G145" s="20"/>
    </row>
    <row r="146" customFormat="false" ht="15" hidden="false" customHeight="false" outlineLevel="0" collapsed="false">
      <c r="A146" s="20"/>
      <c r="B146" s="20"/>
      <c r="C146" s="20"/>
      <c r="D146" s="20"/>
      <c r="E146" s="20"/>
      <c r="F146" s="20"/>
      <c r="G146" s="20"/>
    </row>
    <row r="147" customFormat="false" ht="15" hidden="false" customHeight="false" outlineLevel="0" collapsed="false">
      <c r="A147" s="20"/>
      <c r="B147" s="20"/>
      <c r="C147" s="20"/>
      <c r="D147" s="20"/>
      <c r="E147" s="20"/>
      <c r="F147" s="20"/>
      <c r="G147" s="20"/>
    </row>
    <row r="148" customFormat="false" ht="15" hidden="false" customHeight="false" outlineLevel="0" collapsed="false">
      <c r="A148" s="20"/>
      <c r="B148" s="20"/>
      <c r="C148" s="20"/>
      <c r="D148" s="20"/>
      <c r="E148" s="20"/>
      <c r="F148" s="20"/>
      <c r="G148" s="20"/>
    </row>
    <row r="149" customFormat="false" ht="15" hidden="false" customHeight="false" outlineLevel="0" collapsed="false">
      <c r="A149" s="20"/>
      <c r="B149" s="20"/>
      <c r="C149" s="20"/>
      <c r="D149" s="20"/>
      <c r="E149" s="20"/>
      <c r="F149" s="20"/>
      <c r="G149" s="20"/>
    </row>
    <row r="150" customFormat="false" ht="15" hidden="false" customHeight="false" outlineLevel="0" collapsed="false">
      <c r="A150" s="20"/>
      <c r="B150" s="20"/>
      <c r="C150" s="20"/>
      <c r="D150" s="20"/>
      <c r="E150" s="20"/>
      <c r="F150" s="20"/>
      <c r="G150" s="20"/>
    </row>
    <row r="151" customFormat="false" ht="15" hidden="false" customHeight="false" outlineLevel="0" collapsed="false">
      <c r="A151" s="20"/>
      <c r="B151" s="20"/>
      <c r="C151" s="20"/>
      <c r="D151" s="20"/>
      <c r="E151" s="20"/>
      <c r="F151" s="20"/>
      <c r="G151" s="20"/>
    </row>
    <row r="152" customFormat="false" ht="15" hidden="false" customHeight="false" outlineLevel="0" collapsed="false">
      <c r="A152" s="20"/>
      <c r="B152" s="20"/>
      <c r="C152" s="20"/>
      <c r="D152" s="20"/>
      <c r="E152" s="20"/>
      <c r="F152" s="20"/>
      <c r="G152" s="20"/>
    </row>
    <row r="153" customFormat="false" ht="15" hidden="false" customHeight="false" outlineLevel="0" collapsed="false">
      <c r="A153" s="20"/>
      <c r="B153" s="20"/>
      <c r="C153" s="20"/>
      <c r="D153" s="20"/>
      <c r="E153" s="20"/>
      <c r="F153" s="20"/>
      <c r="G153" s="20"/>
    </row>
    <row r="154" customFormat="false" ht="15" hidden="false" customHeight="false" outlineLevel="0" collapsed="false">
      <c r="A154" s="20"/>
      <c r="B154" s="20"/>
      <c r="C154" s="20"/>
      <c r="D154" s="20"/>
      <c r="E154" s="20"/>
      <c r="F154" s="20"/>
      <c r="G154" s="20"/>
    </row>
    <row r="155" customFormat="false" ht="15" hidden="false" customHeight="false" outlineLevel="0" collapsed="false">
      <c r="A155" s="20"/>
      <c r="B155" s="20"/>
      <c r="C155" s="20"/>
      <c r="D155" s="20"/>
      <c r="E155" s="20"/>
      <c r="F155" s="20"/>
      <c r="G155" s="20"/>
    </row>
    <row r="156" customFormat="false" ht="15" hidden="false" customHeight="false" outlineLevel="0" collapsed="false">
      <c r="A156" s="20"/>
      <c r="B156" s="20"/>
      <c r="C156" s="20"/>
      <c r="D156" s="20"/>
      <c r="E156" s="20"/>
      <c r="F156" s="20"/>
      <c r="G156" s="20"/>
    </row>
    <row r="157" customFormat="false" ht="15" hidden="false" customHeight="false" outlineLevel="0" collapsed="false">
      <c r="A157" s="20"/>
      <c r="B157" s="20"/>
      <c r="C157" s="20"/>
      <c r="D157" s="20"/>
      <c r="E157" s="20"/>
      <c r="F157" s="20"/>
      <c r="G157" s="20"/>
    </row>
    <row r="158" customFormat="false" ht="15" hidden="false" customHeight="false" outlineLevel="0" collapsed="false">
      <c r="A158" s="20"/>
      <c r="B158" s="20"/>
      <c r="C158" s="20"/>
      <c r="D158" s="20"/>
      <c r="E158" s="20"/>
      <c r="F158" s="20"/>
      <c r="G158" s="20"/>
    </row>
    <row r="159" customFormat="false" ht="15" hidden="false" customHeight="false" outlineLevel="0" collapsed="false">
      <c r="A159" s="20"/>
      <c r="B159" s="20"/>
      <c r="C159" s="20"/>
      <c r="D159" s="20"/>
      <c r="E159" s="20"/>
      <c r="F159" s="20"/>
      <c r="G159" s="20"/>
    </row>
    <row r="160" customFormat="false" ht="15" hidden="false" customHeight="false" outlineLevel="0" collapsed="false">
      <c r="A160" s="20"/>
      <c r="B160" s="20"/>
      <c r="C160" s="20"/>
      <c r="D160" s="20"/>
      <c r="E160" s="20"/>
      <c r="F160" s="20"/>
      <c r="G160" s="20"/>
    </row>
    <row r="161" customFormat="false" ht="15" hidden="false" customHeight="false" outlineLevel="0" collapsed="false">
      <c r="A161" s="20"/>
      <c r="B161" s="20"/>
      <c r="C161" s="20"/>
      <c r="D161" s="20"/>
      <c r="E161" s="20"/>
      <c r="F161" s="20"/>
      <c r="G161" s="20"/>
    </row>
    <row r="162" customFormat="false" ht="15" hidden="false" customHeight="false" outlineLevel="0" collapsed="false">
      <c r="A162" s="20"/>
      <c r="B162" s="20"/>
      <c r="C162" s="20"/>
      <c r="D162" s="20"/>
      <c r="E162" s="20"/>
      <c r="F162" s="20"/>
      <c r="G162" s="20"/>
    </row>
    <row r="163" customFormat="false" ht="15" hidden="false" customHeight="false" outlineLevel="0" collapsed="false">
      <c r="A163" s="20"/>
      <c r="B163" s="20"/>
      <c r="C163" s="20"/>
      <c r="D163" s="20"/>
      <c r="E163" s="20"/>
      <c r="F163" s="20"/>
      <c r="G163" s="20"/>
    </row>
    <row r="164" customFormat="false" ht="15" hidden="false" customHeight="false" outlineLevel="0" collapsed="false">
      <c r="A164" s="20"/>
      <c r="B164" s="20"/>
      <c r="C164" s="20"/>
      <c r="D164" s="20"/>
      <c r="E164" s="20"/>
      <c r="F164" s="20"/>
      <c r="G164" s="20"/>
    </row>
    <row r="165" customFormat="false" ht="15" hidden="false" customHeight="false" outlineLevel="0" collapsed="false">
      <c r="A165" s="20"/>
      <c r="B165" s="20"/>
      <c r="C165" s="20"/>
      <c r="D165" s="20"/>
      <c r="E165" s="20"/>
      <c r="F165" s="20"/>
      <c r="G165" s="20"/>
    </row>
    <row r="166" customFormat="false" ht="15" hidden="false" customHeight="false" outlineLevel="0" collapsed="false">
      <c r="A166" s="20"/>
      <c r="B166" s="20"/>
      <c r="C166" s="20"/>
      <c r="D166" s="20"/>
      <c r="E166" s="20"/>
      <c r="F166" s="20"/>
      <c r="G166" s="20"/>
    </row>
    <row r="167" customFormat="false" ht="15" hidden="false" customHeight="false" outlineLevel="0" collapsed="false">
      <c r="A167" s="20"/>
      <c r="B167" s="20"/>
      <c r="C167" s="20"/>
      <c r="D167" s="20"/>
      <c r="E167" s="20"/>
      <c r="F167" s="20"/>
      <c r="G167" s="20"/>
    </row>
    <row r="168" customFormat="false" ht="15" hidden="false" customHeight="false" outlineLevel="0" collapsed="false">
      <c r="A168" s="20"/>
      <c r="B168" s="20"/>
      <c r="C168" s="20"/>
      <c r="D168" s="20"/>
      <c r="E168" s="20"/>
      <c r="F168" s="20"/>
      <c r="G168" s="20"/>
    </row>
    <row r="169" customFormat="false" ht="15" hidden="false" customHeight="false" outlineLevel="0" collapsed="false">
      <c r="A169" s="20"/>
      <c r="B169" s="20"/>
      <c r="C169" s="20"/>
      <c r="D169" s="20"/>
      <c r="E169" s="20"/>
      <c r="F169" s="20"/>
      <c r="G169" s="20"/>
    </row>
    <row r="170" customFormat="false" ht="15" hidden="false" customHeight="false" outlineLevel="0" collapsed="false">
      <c r="A170" s="20"/>
      <c r="B170" s="20"/>
      <c r="C170" s="20"/>
      <c r="D170" s="20"/>
      <c r="E170" s="20"/>
      <c r="F170" s="20"/>
      <c r="G170" s="20"/>
    </row>
    <row r="171" customFormat="false" ht="15" hidden="false" customHeight="false" outlineLevel="0" collapsed="false">
      <c r="A171" s="20"/>
      <c r="B171" s="20"/>
      <c r="C171" s="20"/>
      <c r="D171" s="20"/>
      <c r="E171" s="20"/>
      <c r="F171" s="20"/>
      <c r="G171" s="20"/>
    </row>
    <row r="172" customFormat="false" ht="15" hidden="false" customHeight="false" outlineLevel="0" collapsed="false">
      <c r="A172" s="20"/>
      <c r="B172" s="20"/>
      <c r="C172" s="20"/>
      <c r="D172" s="20"/>
      <c r="E172" s="20"/>
      <c r="F172" s="20"/>
      <c r="G172" s="20"/>
    </row>
    <row r="173" customFormat="false" ht="15" hidden="false" customHeight="false" outlineLevel="0" collapsed="false">
      <c r="A173" s="20"/>
      <c r="B173" s="20"/>
      <c r="C173" s="20"/>
      <c r="D173" s="20"/>
      <c r="E173" s="20"/>
      <c r="F173" s="20"/>
      <c r="G173" s="20"/>
    </row>
    <row r="174" customFormat="false" ht="15" hidden="false" customHeight="false" outlineLevel="0" collapsed="false">
      <c r="A174" s="20"/>
      <c r="B174" s="20"/>
      <c r="C174" s="20"/>
      <c r="D174" s="20"/>
      <c r="E174" s="20"/>
      <c r="F174" s="20"/>
      <c r="G174" s="20"/>
    </row>
    <row r="175" customFormat="false" ht="15" hidden="false" customHeight="false" outlineLevel="0" collapsed="false">
      <c r="A175" s="20"/>
      <c r="B175" s="20"/>
      <c r="C175" s="20"/>
      <c r="D175" s="20"/>
      <c r="E175" s="20"/>
      <c r="F175" s="20"/>
      <c r="G175" s="20"/>
    </row>
    <row r="176" customFormat="false" ht="15" hidden="false" customHeight="false" outlineLevel="0" collapsed="false">
      <c r="A176" s="20"/>
      <c r="B176" s="20"/>
      <c r="C176" s="20"/>
      <c r="D176" s="20"/>
      <c r="E176" s="20"/>
      <c r="F176" s="20"/>
      <c r="G176" s="20"/>
    </row>
    <row r="177" customFormat="false" ht="15" hidden="false" customHeight="false" outlineLevel="0" collapsed="false">
      <c r="A177" s="20"/>
      <c r="B177" s="20"/>
      <c r="C177" s="20"/>
      <c r="D177" s="20"/>
      <c r="E177" s="20"/>
      <c r="F177" s="20"/>
      <c r="G177" s="20"/>
    </row>
    <row r="178" customFormat="false" ht="15" hidden="false" customHeight="false" outlineLevel="0" collapsed="false">
      <c r="A178" s="20"/>
      <c r="B178" s="20"/>
      <c r="C178" s="20"/>
      <c r="D178" s="20"/>
      <c r="E178" s="20"/>
      <c r="F178" s="20"/>
      <c r="G178" s="20"/>
    </row>
    <row r="179" customFormat="false" ht="15" hidden="false" customHeight="false" outlineLevel="0" collapsed="false">
      <c r="A179" s="20"/>
      <c r="B179" s="20"/>
      <c r="C179" s="20"/>
      <c r="D179" s="20"/>
      <c r="E179" s="20"/>
      <c r="F179" s="20"/>
      <c r="G179" s="20"/>
    </row>
    <row r="180" customFormat="false" ht="15" hidden="false" customHeight="false" outlineLevel="0" collapsed="false">
      <c r="A180" s="20"/>
      <c r="B180" s="20"/>
      <c r="C180" s="20"/>
      <c r="D180" s="20"/>
      <c r="E180" s="20"/>
      <c r="F180" s="20"/>
      <c r="G180" s="20"/>
    </row>
    <row r="181" customFormat="false" ht="15" hidden="false" customHeight="false" outlineLevel="0" collapsed="false">
      <c r="A181" s="20"/>
      <c r="B181" s="20"/>
      <c r="C181" s="20"/>
      <c r="D181" s="20"/>
      <c r="E181" s="20"/>
      <c r="F181" s="20"/>
      <c r="G181" s="20"/>
    </row>
    <row r="182" customFormat="false" ht="15" hidden="false" customHeight="false" outlineLevel="0" collapsed="false">
      <c r="A182" s="20"/>
      <c r="B182" s="20"/>
      <c r="C182" s="20"/>
      <c r="D182" s="20"/>
      <c r="E182" s="20"/>
      <c r="F182" s="20"/>
      <c r="G182" s="20"/>
    </row>
    <row r="183" customFormat="false" ht="15" hidden="false" customHeight="false" outlineLevel="0" collapsed="false">
      <c r="A183" s="20"/>
      <c r="B183" s="20"/>
      <c r="C183" s="20"/>
      <c r="D183" s="20"/>
      <c r="E183" s="20"/>
      <c r="F183" s="20"/>
      <c r="G183" s="20"/>
    </row>
    <row r="184" customFormat="false" ht="15" hidden="false" customHeight="false" outlineLevel="0" collapsed="false">
      <c r="A184" s="20"/>
      <c r="B184" s="20"/>
      <c r="C184" s="20"/>
      <c r="D184" s="20"/>
      <c r="E184" s="20"/>
      <c r="F184" s="20"/>
      <c r="G184" s="20"/>
    </row>
    <row r="185" customFormat="false" ht="15" hidden="false" customHeight="false" outlineLevel="0" collapsed="false">
      <c r="A185" s="20"/>
      <c r="B185" s="20"/>
      <c r="C185" s="20"/>
      <c r="D185" s="20"/>
      <c r="E185" s="20"/>
      <c r="F185" s="20"/>
      <c r="G185" s="20"/>
    </row>
    <row r="186" customFormat="false" ht="15" hidden="false" customHeight="false" outlineLevel="0" collapsed="false">
      <c r="A186" s="20"/>
      <c r="B186" s="20"/>
      <c r="C186" s="20"/>
      <c r="D186" s="20"/>
      <c r="E186" s="20"/>
      <c r="F186" s="20"/>
      <c r="G186" s="20"/>
    </row>
    <row r="187" customFormat="false" ht="15" hidden="false" customHeight="false" outlineLevel="0" collapsed="false">
      <c r="A187" s="20"/>
      <c r="B187" s="20"/>
      <c r="C187" s="20"/>
      <c r="D187" s="20"/>
      <c r="E187" s="20"/>
      <c r="F187" s="20"/>
      <c r="G187" s="20"/>
    </row>
    <row r="188" customFormat="false" ht="15" hidden="false" customHeight="false" outlineLevel="0" collapsed="false">
      <c r="A188" s="20"/>
      <c r="B188" s="20"/>
      <c r="C188" s="20"/>
      <c r="D188" s="20"/>
      <c r="E188" s="20"/>
      <c r="F188" s="20"/>
      <c r="G188" s="20"/>
    </row>
    <row r="189" customFormat="false" ht="15" hidden="false" customHeight="false" outlineLevel="0" collapsed="false">
      <c r="A189" s="20"/>
      <c r="B189" s="20"/>
      <c r="C189" s="20"/>
      <c r="D189" s="20"/>
      <c r="E189" s="20"/>
      <c r="F189" s="20"/>
      <c r="G189" s="20"/>
    </row>
    <row r="190" customFormat="false" ht="15" hidden="false" customHeight="false" outlineLevel="0" collapsed="false">
      <c r="A190" s="20"/>
      <c r="B190" s="20"/>
      <c r="C190" s="20"/>
      <c r="D190" s="20"/>
      <c r="E190" s="20"/>
      <c r="F190" s="20"/>
      <c r="G190" s="20"/>
    </row>
    <row r="191" customFormat="false" ht="15" hidden="false" customHeight="false" outlineLevel="0" collapsed="false">
      <c r="A191" s="20"/>
      <c r="B191" s="20"/>
      <c r="C191" s="20"/>
      <c r="D191" s="20"/>
      <c r="E191" s="20"/>
      <c r="F191" s="20"/>
      <c r="G191" s="20"/>
    </row>
    <row r="192" customFormat="false" ht="15" hidden="false" customHeight="false" outlineLevel="0" collapsed="false">
      <c r="A192" s="20"/>
      <c r="B192" s="20"/>
      <c r="C192" s="20"/>
      <c r="D192" s="20"/>
      <c r="E192" s="20"/>
      <c r="F192" s="20"/>
      <c r="G192" s="20"/>
    </row>
    <row r="193" customFormat="false" ht="15" hidden="false" customHeight="false" outlineLevel="0" collapsed="false">
      <c r="A193" s="20"/>
      <c r="B193" s="20"/>
      <c r="C193" s="20"/>
      <c r="D193" s="20"/>
      <c r="E193" s="20"/>
      <c r="F193" s="20"/>
      <c r="G193" s="20"/>
    </row>
    <row r="194" customFormat="false" ht="15" hidden="false" customHeight="false" outlineLevel="0" collapsed="false">
      <c r="A194" s="20"/>
      <c r="B194" s="20"/>
      <c r="C194" s="20"/>
      <c r="D194" s="20"/>
      <c r="E194" s="20"/>
      <c r="F194" s="20"/>
      <c r="G194" s="20"/>
    </row>
    <row r="195" customFormat="false" ht="15" hidden="false" customHeight="false" outlineLevel="0" collapsed="false">
      <c r="A195" s="20"/>
      <c r="B195" s="20"/>
      <c r="C195" s="20"/>
      <c r="D195" s="20"/>
      <c r="E195" s="20"/>
      <c r="F195" s="20"/>
      <c r="G195" s="20"/>
    </row>
    <row r="196" customFormat="false" ht="15" hidden="false" customHeight="false" outlineLevel="0" collapsed="false">
      <c r="A196" s="20"/>
      <c r="B196" s="20"/>
      <c r="C196" s="20"/>
      <c r="D196" s="20"/>
      <c r="E196" s="20"/>
      <c r="F196" s="20"/>
      <c r="G196" s="20"/>
    </row>
    <row r="197" customFormat="false" ht="15" hidden="false" customHeight="false" outlineLevel="0" collapsed="false">
      <c r="A197" s="20"/>
      <c r="B197" s="20"/>
      <c r="C197" s="20"/>
      <c r="D197" s="20"/>
      <c r="E197" s="20"/>
      <c r="F197" s="20"/>
      <c r="G197" s="20"/>
    </row>
    <row r="198" customFormat="false" ht="15" hidden="false" customHeight="false" outlineLevel="0" collapsed="false">
      <c r="A198" s="20"/>
      <c r="B198" s="20"/>
      <c r="C198" s="20"/>
      <c r="D198" s="20"/>
      <c r="E198" s="20"/>
      <c r="F198" s="20"/>
      <c r="G198" s="20"/>
    </row>
    <row r="199" customFormat="false" ht="15" hidden="false" customHeight="false" outlineLevel="0" collapsed="false">
      <c r="A199" s="20"/>
      <c r="B199" s="20"/>
      <c r="C199" s="20"/>
      <c r="D199" s="20"/>
      <c r="E199" s="20"/>
      <c r="F199" s="20"/>
      <c r="G199" s="20"/>
    </row>
    <row r="200" customFormat="false" ht="15" hidden="false" customHeight="false" outlineLevel="0" collapsed="false">
      <c r="A200" s="20"/>
      <c r="B200" s="20"/>
      <c r="C200" s="20"/>
      <c r="D200" s="20"/>
      <c r="E200" s="20"/>
      <c r="F200" s="20"/>
      <c r="G200" s="20"/>
    </row>
    <row r="201" customFormat="false" ht="15" hidden="false" customHeight="false" outlineLevel="0" collapsed="false">
      <c r="A201" s="20"/>
      <c r="B201" s="20"/>
      <c r="C201" s="20"/>
      <c r="D201" s="20"/>
      <c r="E201" s="20"/>
      <c r="F201" s="20"/>
      <c r="G201" s="20"/>
    </row>
    <row r="202" customFormat="false" ht="15" hidden="false" customHeight="false" outlineLevel="0" collapsed="false">
      <c r="A202" s="20"/>
      <c r="B202" s="20"/>
      <c r="C202" s="20"/>
      <c r="D202" s="20"/>
      <c r="E202" s="20"/>
      <c r="F202" s="20"/>
      <c r="G202" s="20"/>
    </row>
    <row r="203" customFormat="false" ht="15" hidden="false" customHeight="false" outlineLevel="0" collapsed="false">
      <c r="A203" s="20"/>
      <c r="B203" s="20"/>
      <c r="C203" s="20"/>
      <c r="D203" s="20"/>
      <c r="E203" s="20"/>
      <c r="F203" s="20"/>
      <c r="G203" s="20"/>
    </row>
    <row r="204" customFormat="false" ht="15" hidden="false" customHeight="false" outlineLevel="0" collapsed="false">
      <c r="A204" s="20"/>
      <c r="B204" s="20"/>
      <c r="C204" s="20"/>
      <c r="D204" s="20"/>
      <c r="E204" s="20"/>
      <c r="F204" s="20"/>
      <c r="G204" s="20"/>
    </row>
    <row r="205" customFormat="false" ht="15" hidden="false" customHeight="false" outlineLevel="0" collapsed="false">
      <c r="A205" s="20"/>
      <c r="B205" s="20"/>
      <c r="C205" s="20"/>
      <c r="D205" s="20"/>
      <c r="E205" s="20"/>
      <c r="F205" s="20"/>
      <c r="G205" s="20"/>
    </row>
    <row r="206" customFormat="false" ht="15" hidden="false" customHeight="false" outlineLevel="0" collapsed="false">
      <c r="A206" s="20"/>
      <c r="B206" s="20"/>
      <c r="C206" s="20"/>
      <c r="D206" s="20"/>
      <c r="E206" s="20"/>
      <c r="F206" s="20"/>
      <c r="G206" s="20"/>
    </row>
    <row r="207" customFormat="false" ht="15" hidden="false" customHeight="false" outlineLevel="0" collapsed="false">
      <c r="A207" s="20"/>
      <c r="B207" s="20"/>
      <c r="C207" s="20"/>
      <c r="D207" s="20"/>
      <c r="E207" s="20"/>
      <c r="F207" s="20"/>
      <c r="G207" s="20"/>
    </row>
    <row r="208" customFormat="false" ht="15" hidden="false" customHeight="false" outlineLevel="0" collapsed="false">
      <c r="A208" s="20"/>
      <c r="B208" s="20"/>
      <c r="C208" s="20"/>
      <c r="D208" s="20"/>
      <c r="E208" s="20"/>
      <c r="F208" s="20"/>
      <c r="G208" s="20"/>
    </row>
    <row r="209" customFormat="false" ht="15" hidden="false" customHeight="false" outlineLevel="0" collapsed="false">
      <c r="A209" s="20"/>
      <c r="B209" s="20"/>
      <c r="C209" s="20"/>
      <c r="D209" s="20"/>
      <c r="E209" s="20"/>
      <c r="F209" s="20"/>
      <c r="G209" s="20"/>
    </row>
    <row r="210" customFormat="false" ht="15" hidden="false" customHeight="false" outlineLevel="0" collapsed="false">
      <c r="A210" s="20"/>
      <c r="B210" s="20"/>
      <c r="C210" s="20"/>
      <c r="D210" s="20"/>
      <c r="E210" s="20"/>
      <c r="F210" s="20"/>
      <c r="G210" s="20"/>
    </row>
    <row r="211" customFormat="false" ht="15" hidden="false" customHeight="false" outlineLevel="0" collapsed="false">
      <c r="A211" s="20"/>
      <c r="B211" s="20"/>
      <c r="C211" s="20"/>
      <c r="D211" s="20"/>
      <c r="E211" s="20"/>
      <c r="F211" s="20"/>
      <c r="G211" s="20"/>
    </row>
    <row r="212" customFormat="false" ht="15" hidden="false" customHeight="false" outlineLevel="0" collapsed="false">
      <c r="A212" s="20"/>
      <c r="B212" s="20"/>
      <c r="C212" s="20"/>
      <c r="D212" s="20"/>
      <c r="E212" s="20"/>
      <c r="F212" s="20"/>
      <c r="G212" s="20"/>
    </row>
    <row r="213" customFormat="false" ht="15" hidden="false" customHeight="false" outlineLevel="0" collapsed="false">
      <c r="A213" s="20"/>
      <c r="B213" s="20"/>
      <c r="C213" s="20"/>
      <c r="D213" s="20"/>
      <c r="E213" s="20"/>
      <c r="F213" s="20"/>
      <c r="G213" s="20"/>
    </row>
    <row r="214" customFormat="false" ht="15" hidden="false" customHeight="false" outlineLevel="0" collapsed="false">
      <c r="A214" s="20"/>
      <c r="B214" s="20"/>
      <c r="C214" s="20"/>
      <c r="D214" s="20"/>
      <c r="E214" s="20"/>
      <c r="F214" s="20"/>
      <c r="G214" s="20"/>
    </row>
    <row r="215" customFormat="false" ht="15" hidden="false" customHeight="false" outlineLevel="0" collapsed="false">
      <c r="A215" s="20"/>
      <c r="B215" s="20"/>
      <c r="C215" s="20"/>
      <c r="D215" s="20"/>
      <c r="E215" s="20"/>
      <c r="F215" s="20"/>
      <c r="G215" s="20"/>
    </row>
    <row r="216" customFormat="false" ht="15" hidden="false" customHeight="false" outlineLevel="0" collapsed="false">
      <c r="A216" s="20"/>
      <c r="B216" s="20"/>
      <c r="C216" s="20"/>
      <c r="D216" s="20"/>
      <c r="E216" s="20"/>
      <c r="F216" s="20"/>
      <c r="G216" s="20"/>
    </row>
    <row r="217" customFormat="false" ht="15" hidden="false" customHeight="false" outlineLevel="0" collapsed="false">
      <c r="A217" s="20"/>
      <c r="B217" s="20"/>
      <c r="C217" s="20"/>
      <c r="D217" s="20"/>
      <c r="E217" s="20"/>
      <c r="F217" s="20"/>
      <c r="G217" s="20"/>
    </row>
    <row r="218" customFormat="false" ht="15" hidden="false" customHeight="false" outlineLevel="0" collapsed="false">
      <c r="A218" s="20"/>
      <c r="B218" s="20"/>
      <c r="C218" s="20"/>
      <c r="D218" s="20"/>
      <c r="E218" s="20"/>
      <c r="F218" s="20"/>
      <c r="G218" s="20"/>
    </row>
    <row r="219" customFormat="false" ht="15" hidden="false" customHeight="false" outlineLevel="0" collapsed="false">
      <c r="A219" s="20"/>
      <c r="B219" s="20"/>
      <c r="C219" s="20"/>
      <c r="D219" s="20"/>
      <c r="E219" s="20"/>
      <c r="F219" s="20"/>
      <c r="G219" s="20"/>
    </row>
    <row r="220" customFormat="false" ht="15" hidden="false" customHeight="false" outlineLevel="0" collapsed="false">
      <c r="A220" s="20"/>
      <c r="B220" s="20"/>
      <c r="C220" s="20"/>
      <c r="D220" s="20"/>
      <c r="E220" s="20"/>
      <c r="F220" s="20"/>
      <c r="G220" s="20"/>
    </row>
    <row r="221" customFormat="false" ht="15" hidden="false" customHeight="false" outlineLevel="0" collapsed="false">
      <c r="A221" s="20"/>
      <c r="B221" s="20"/>
      <c r="C221" s="20"/>
      <c r="D221" s="20"/>
      <c r="E221" s="20"/>
      <c r="F221" s="20"/>
      <c r="G221" s="20"/>
    </row>
    <row r="222" customFormat="false" ht="15" hidden="false" customHeight="false" outlineLevel="0" collapsed="false">
      <c r="A222" s="20"/>
      <c r="B222" s="20"/>
      <c r="C222" s="20"/>
      <c r="D222" s="20"/>
      <c r="E222" s="20"/>
      <c r="F222" s="20"/>
      <c r="G222" s="20"/>
    </row>
    <row r="223" customFormat="false" ht="15" hidden="false" customHeight="false" outlineLevel="0" collapsed="false">
      <c r="A223" s="20"/>
      <c r="B223" s="20"/>
      <c r="C223" s="20"/>
      <c r="D223" s="20"/>
      <c r="E223" s="20"/>
      <c r="F223" s="20"/>
      <c r="G223" s="20"/>
    </row>
    <row r="224" customFormat="false" ht="15" hidden="false" customHeight="false" outlineLevel="0" collapsed="false">
      <c r="A224" s="20"/>
      <c r="B224" s="20"/>
      <c r="C224" s="20"/>
      <c r="D224" s="20"/>
      <c r="E224" s="20"/>
      <c r="F224" s="20"/>
      <c r="G224" s="20"/>
    </row>
    <row r="225" customFormat="false" ht="15" hidden="false" customHeight="false" outlineLevel="0" collapsed="false">
      <c r="A225" s="20"/>
      <c r="B225" s="20"/>
      <c r="C225" s="20"/>
      <c r="D225" s="20"/>
      <c r="E225" s="20"/>
      <c r="F225" s="20"/>
      <c r="G225" s="20"/>
    </row>
    <row r="226" customFormat="false" ht="15" hidden="false" customHeight="false" outlineLevel="0" collapsed="false">
      <c r="A226" s="20"/>
      <c r="B226" s="20"/>
      <c r="C226" s="20"/>
      <c r="D226" s="20"/>
      <c r="E226" s="20"/>
      <c r="F226" s="20"/>
      <c r="G226" s="20"/>
    </row>
    <row r="227" customFormat="false" ht="15" hidden="false" customHeight="false" outlineLevel="0" collapsed="false">
      <c r="A227" s="20"/>
      <c r="B227" s="20"/>
      <c r="C227" s="20"/>
      <c r="D227" s="20"/>
      <c r="E227" s="20"/>
      <c r="F227" s="20"/>
      <c r="G227" s="20"/>
    </row>
    <row r="228" customFormat="false" ht="15" hidden="false" customHeight="false" outlineLevel="0" collapsed="false">
      <c r="A228" s="20"/>
      <c r="B228" s="20"/>
      <c r="C228" s="20"/>
      <c r="D228" s="20"/>
      <c r="E228" s="20"/>
      <c r="F228" s="20"/>
      <c r="G228" s="20"/>
    </row>
    <row r="229" customFormat="false" ht="15" hidden="false" customHeight="false" outlineLevel="0" collapsed="false">
      <c r="A229" s="20"/>
      <c r="B229" s="20"/>
      <c r="C229" s="20"/>
      <c r="D229" s="20"/>
      <c r="E229" s="20"/>
      <c r="F229" s="20"/>
      <c r="G229" s="20"/>
    </row>
    <row r="230" customFormat="false" ht="15" hidden="false" customHeight="false" outlineLevel="0" collapsed="false">
      <c r="A230" s="20"/>
      <c r="B230" s="20"/>
      <c r="C230" s="20"/>
      <c r="D230" s="20"/>
      <c r="E230" s="20"/>
      <c r="F230" s="20"/>
      <c r="G230" s="20"/>
    </row>
    <row r="231" customFormat="false" ht="15" hidden="false" customHeight="false" outlineLevel="0" collapsed="false">
      <c r="A231" s="20"/>
      <c r="B231" s="20"/>
      <c r="C231" s="20"/>
      <c r="D231" s="20"/>
      <c r="E231" s="20"/>
      <c r="F231" s="20"/>
      <c r="G231" s="20"/>
    </row>
    <row r="232" customFormat="false" ht="15" hidden="false" customHeight="false" outlineLevel="0" collapsed="false">
      <c r="A232" s="20"/>
      <c r="B232" s="20"/>
      <c r="C232" s="20"/>
      <c r="D232" s="20"/>
      <c r="E232" s="20"/>
      <c r="F232" s="20"/>
      <c r="G232" s="20"/>
    </row>
    <row r="233" customFormat="false" ht="15" hidden="false" customHeight="false" outlineLevel="0" collapsed="false">
      <c r="A233" s="20"/>
      <c r="B233" s="20"/>
      <c r="C233" s="20"/>
      <c r="D233" s="20"/>
      <c r="E233" s="20"/>
      <c r="F233" s="20"/>
      <c r="G233" s="20"/>
    </row>
    <row r="234" customFormat="false" ht="15" hidden="false" customHeight="false" outlineLevel="0" collapsed="false">
      <c r="A234" s="20"/>
      <c r="B234" s="20"/>
      <c r="C234" s="20"/>
      <c r="D234" s="20"/>
      <c r="E234" s="20"/>
      <c r="F234" s="20"/>
      <c r="G234" s="20"/>
    </row>
    <row r="235" customFormat="false" ht="15" hidden="false" customHeight="false" outlineLevel="0" collapsed="false">
      <c r="A235" s="20"/>
      <c r="B235" s="20"/>
      <c r="C235" s="20"/>
      <c r="D235" s="20"/>
      <c r="E235" s="20"/>
      <c r="F235" s="20"/>
      <c r="G235" s="20"/>
    </row>
    <row r="236" customFormat="false" ht="15" hidden="false" customHeight="false" outlineLevel="0" collapsed="false">
      <c r="A236" s="20"/>
      <c r="B236" s="20"/>
      <c r="C236" s="20"/>
      <c r="D236" s="20"/>
      <c r="E236" s="20"/>
      <c r="F236" s="20"/>
      <c r="G236" s="20"/>
    </row>
    <row r="237" customFormat="false" ht="15" hidden="false" customHeight="false" outlineLevel="0" collapsed="false">
      <c r="A237" s="20"/>
      <c r="B237" s="20"/>
      <c r="C237" s="20"/>
      <c r="D237" s="20"/>
      <c r="E237" s="20"/>
      <c r="F237" s="20"/>
      <c r="G237" s="20"/>
    </row>
    <row r="238" customFormat="false" ht="15" hidden="false" customHeight="false" outlineLevel="0" collapsed="false">
      <c r="A238" s="20"/>
      <c r="B238" s="20"/>
      <c r="C238" s="20"/>
      <c r="D238" s="20"/>
      <c r="E238" s="20"/>
      <c r="F238" s="20"/>
      <c r="G238" s="20"/>
    </row>
    <row r="239" customFormat="false" ht="15" hidden="false" customHeight="false" outlineLevel="0" collapsed="false">
      <c r="A239" s="20"/>
      <c r="B239" s="20"/>
      <c r="C239" s="20"/>
      <c r="D239" s="20"/>
      <c r="E239" s="20"/>
      <c r="F239" s="20"/>
      <c r="G239" s="20"/>
    </row>
    <row r="240" customFormat="false" ht="15" hidden="false" customHeight="false" outlineLevel="0" collapsed="false">
      <c r="A240" s="20"/>
      <c r="B240" s="20"/>
      <c r="C240" s="20"/>
      <c r="D240" s="20"/>
      <c r="E240" s="20"/>
      <c r="F240" s="20"/>
      <c r="G240" s="20"/>
    </row>
    <row r="241" customFormat="false" ht="15" hidden="false" customHeight="false" outlineLevel="0" collapsed="false">
      <c r="A241" s="20"/>
      <c r="B241" s="20"/>
      <c r="C241" s="20"/>
      <c r="D241" s="20"/>
      <c r="E241" s="20"/>
      <c r="F241" s="20"/>
      <c r="G241" s="20"/>
    </row>
    <row r="242" customFormat="false" ht="15" hidden="false" customHeight="false" outlineLevel="0" collapsed="false">
      <c r="A242" s="20"/>
      <c r="B242" s="20"/>
      <c r="C242" s="20"/>
      <c r="D242" s="20"/>
      <c r="E242" s="20"/>
      <c r="F242" s="20"/>
      <c r="G242" s="20"/>
    </row>
    <row r="243" customFormat="false" ht="15" hidden="false" customHeight="false" outlineLevel="0" collapsed="false">
      <c r="A243" s="20"/>
      <c r="B243" s="20"/>
      <c r="C243" s="20"/>
      <c r="D243" s="20"/>
      <c r="E243" s="20"/>
      <c r="F243" s="20"/>
      <c r="G243" s="20"/>
    </row>
    <row r="244" customFormat="false" ht="15" hidden="false" customHeight="false" outlineLevel="0" collapsed="false">
      <c r="A244" s="20"/>
      <c r="B244" s="20"/>
      <c r="C244" s="20"/>
      <c r="D244" s="20"/>
      <c r="E244" s="20"/>
      <c r="F244" s="20"/>
      <c r="G244" s="20"/>
    </row>
    <row r="245" customFormat="false" ht="15" hidden="false" customHeight="false" outlineLevel="0" collapsed="false">
      <c r="A245" s="20"/>
      <c r="B245" s="20"/>
      <c r="C245" s="20"/>
      <c r="D245" s="20"/>
      <c r="E245" s="20"/>
      <c r="F245" s="20"/>
      <c r="G245" s="20"/>
    </row>
    <row r="246" customFormat="false" ht="15" hidden="false" customHeight="false" outlineLevel="0" collapsed="false">
      <c r="A246" s="20"/>
      <c r="B246" s="20"/>
      <c r="C246" s="20"/>
      <c r="D246" s="20"/>
      <c r="E246" s="20"/>
      <c r="F246" s="20"/>
      <c r="G246" s="20"/>
    </row>
    <row r="247" customFormat="false" ht="15" hidden="false" customHeight="false" outlineLevel="0" collapsed="false">
      <c r="A247" s="20"/>
      <c r="B247" s="20"/>
      <c r="C247" s="20"/>
      <c r="D247" s="20"/>
      <c r="E247" s="20"/>
      <c r="F247" s="20"/>
      <c r="G247" s="20"/>
    </row>
    <row r="248" customFormat="false" ht="15" hidden="false" customHeight="false" outlineLevel="0" collapsed="false">
      <c r="A248" s="20"/>
      <c r="B248" s="20"/>
      <c r="C248" s="20"/>
      <c r="D248" s="20"/>
      <c r="E248" s="20"/>
      <c r="F248" s="20"/>
      <c r="G248" s="20"/>
    </row>
    <row r="249" customFormat="false" ht="15" hidden="false" customHeight="false" outlineLevel="0" collapsed="false">
      <c r="A249" s="20"/>
      <c r="B249" s="20"/>
      <c r="C249" s="20"/>
      <c r="D249" s="20"/>
      <c r="E249" s="20"/>
      <c r="F249" s="20"/>
      <c r="G249" s="20"/>
    </row>
    <row r="250" customFormat="false" ht="15" hidden="false" customHeight="false" outlineLevel="0" collapsed="false">
      <c r="A250" s="20"/>
      <c r="B250" s="20"/>
      <c r="C250" s="20"/>
      <c r="D250" s="20"/>
      <c r="E250" s="20"/>
      <c r="F250" s="20"/>
      <c r="G250" s="20"/>
    </row>
    <row r="251" customFormat="false" ht="15" hidden="false" customHeight="false" outlineLevel="0" collapsed="false">
      <c r="A251" s="20"/>
      <c r="B251" s="20"/>
      <c r="C251" s="20"/>
      <c r="D251" s="20"/>
      <c r="E251" s="20"/>
      <c r="F251" s="20"/>
      <c r="G251" s="20"/>
    </row>
  </sheetData>
  <dataValidations count="3">
    <dataValidation allowBlank="true" errorStyle="stop" operator="between" showDropDown="false" showErrorMessage="false" showInputMessage="false" sqref="A2:A252" type="list">
      <formula1>Listeler!$A$2:$A$61</formula1>
      <formula2>0</formula2>
    </dataValidation>
    <dataValidation allowBlank="true" errorStyle="stop" operator="between" showDropDown="false" showErrorMessage="false" showInputMessage="false" sqref="B2:B252" type="list">
      <formula1>Listeler!$B$2:$B$30</formula1>
      <formula2>0</formula2>
    </dataValidation>
    <dataValidation allowBlank="true" errorStyle="stop" operator="between" showDropDown="false" showErrorMessage="false" showInputMessage="false" sqref="D2:D252" type="list">
      <formula1>Listeler!$C$2:$C$10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6" min="3" style="0" width="11"/>
    <col collapsed="false" customWidth="true" hidden="false" outlineLevel="0" max="8" min="7" style="0" width="22"/>
    <col collapsed="false" customWidth="true" hidden="false" outlineLevel="0" max="9" min="9" style="0" width="55"/>
  </cols>
  <sheetData>
    <row r="1" customFormat="false" ht="31.5" hidden="false" customHeight="true" outlineLevel="0" collapsed="false">
      <c r="A1" s="7" t="s">
        <v>16</v>
      </c>
      <c r="B1" s="7" t="s">
        <v>334</v>
      </c>
      <c r="C1" s="7" t="s">
        <v>335</v>
      </c>
      <c r="D1" s="7" t="s">
        <v>336</v>
      </c>
      <c r="E1" s="7" t="s">
        <v>337</v>
      </c>
      <c r="F1" s="7" t="s">
        <v>338</v>
      </c>
      <c r="G1" s="7" t="s">
        <v>18</v>
      </c>
      <c r="H1" s="7" t="s">
        <v>175</v>
      </c>
      <c r="I1" s="7" t="s">
        <v>31</v>
      </c>
    </row>
    <row r="2" customFormat="false" ht="15" hidden="false" customHeight="false" outlineLevel="0" collapsed="false">
      <c r="A2" s="21" t="s">
        <v>339</v>
      </c>
      <c r="B2" s="22" t="s">
        <v>340</v>
      </c>
      <c r="C2" s="22" t="n">
        <v>2000</v>
      </c>
      <c r="D2" s="22" t="n">
        <v>1000</v>
      </c>
      <c r="E2" s="22" t="n">
        <v>54</v>
      </c>
      <c r="F2" s="22" t="n">
        <v>1</v>
      </c>
      <c r="G2" s="22" t="s">
        <v>66</v>
      </c>
      <c r="H2" s="21" t="s">
        <v>222</v>
      </c>
      <c r="I2" s="21" t="s">
        <v>341</v>
      </c>
    </row>
    <row r="3" customFormat="false" ht="15" hidden="false" customHeight="false" outlineLevel="0" collapsed="false">
      <c r="A3" s="19" t="s">
        <v>32</v>
      </c>
      <c r="B3" s="10" t="s">
        <v>342</v>
      </c>
      <c r="C3" s="10"/>
      <c r="D3" s="10"/>
      <c r="E3" s="10"/>
      <c r="F3" s="10" t="n">
        <v>1</v>
      </c>
      <c r="G3" s="10"/>
      <c r="H3" s="19" t="s">
        <v>222</v>
      </c>
      <c r="I3" s="19" t="s">
        <v>343</v>
      </c>
    </row>
    <row r="4" customFormat="false" ht="15" hidden="false" customHeight="false" outlineLevel="0" collapsed="false">
      <c r="A4" s="19" t="s">
        <v>40</v>
      </c>
      <c r="B4" s="10" t="s">
        <v>342</v>
      </c>
      <c r="C4" s="10"/>
      <c r="D4" s="10"/>
      <c r="E4" s="10"/>
      <c r="F4" s="10" t="n">
        <v>1</v>
      </c>
      <c r="G4" s="10"/>
      <c r="H4" s="19" t="s">
        <v>222</v>
      </c>
      <c r="I4" s="19" t="s">
        <v>343</v>
      </c>
    </row>
    <row r="5" customFormat="false" ht="15" hidden="false" customHeight="false" outlineLevel="0" collapsed="false">
      <c r="A5" s="19" t="s">
        <v>44</v>
      </c>
      <c r="B5" s="10" t="s">
        <v>342</v>
      </c>
      <c r="C5" s="10"/>
      <c r="D5" s="10"/>
      <c r="E5" s="10"/>
      <c r="F5" s="10" t="n">
        <v>1</v>
      </c>
      <c r="G5" s="10"/>
      <c r="H5" s="19" t="s">
        <v>222</v>
      </c>
      <c r="I5" s="19" t="s">
        <v>343</v>
      </c>
    </row>
    <row r="6" customFormat="false" ht="15" hidden="false" customHeight="false" outlineLevel="0" collapsed="false">
      <c r="A6" s="19" t="s">
        <v>49</v>
      </c>
      <c r="B6" s="10" t="s">
        <v>342</v>
      </c>
      <c r="C6" s="10"/>
      <c r="D6" s="10"/>
      <c r="E6" s="10"/>
      <c r="F6" s="10" t="n">
        <v>1</v>
      </c>
      <c r="G6" s="10"/>
      <c r="H6" s="19" t="s">
        <v>222</v>
      </c>
      <c r="I6" s="19" t="s">
        <v>343</v>
      </c>
    </row>
    <row r="7" customFormat="false" ht="15" hidden="false" customHeight="false" outlineLevel="0" collapsed="false">
      <c r="A7" s="19" t="s">
        <v>54</v>
      </c>
      <c r="B7" s="16" t="s">
        <v>344</v>
      </c>
      <c r="C7" s="16" t="n">
        <v>1900</v>
      </c>
      <c r="D7" s="16" t="n">
        <v>1000</v>
      </c>
      <c r="E7" s="16" t="n">
        <v>18</v>
      </c>
      <c r="F7" s="16" t="n">
        <v>1</v>
      </c>
      <c r="G7" s="16" t="s">
        <v>345</v>
      </c>
      <c r="H7" s="19" t="s">
        <v>273</v>
      </c>
      <c r="I7" s="19" t="s">
        <v>346</v>
      </c>
    </row>
    <row r="8" customFormat="false" ht="15" hidden="false" customHeight="false" outlineLevel="0" collapsed="false">
      <c r="A8" s="19" t="s">
        <v>347</v>
      </c>
      <c r="B8" s="16" t="s">
        <v>348</v>
      </c>
      <c r="C8" s="16" t="n">
        <v>800</v>
      </c>
      <c r="D8" s="16" t="n">
        <v>400</v>
      </c>
      <c r="E8" s="16" t="n">
        <v>18</v>
      </c>
      <c r="F8" s="16" t="n">
        <v>2</v>
      </c>
      <c r="G8" s="16" t="s">
        <v>34</v>
      </c>
      <c r="H8" s="19" t="s">
        <v>273</v>
      </c>
      <c r="I8" s="19" t="s">
        <v>349</v>
      </c>
    </row>
    <row r="9" customFormat="false" ht="15" hidden="false" customHeight="false" outlineLevel="0" collapsed="false">
      <c r="A9" s="19" t="s">
        <v>347</v>
      </c>
      <c r="B9" s="16" t="s">
        <v>350</v>
      </c>
      <c r="C9" s="16" t="n">
        <v>746</v>
      </c>
      <c r="D9" s="16" t="n">
        <v>400</v>
      </c>
      <c r="E9" s="16" t="n">
        <v>18</v>
      </c>
      <c r="F9" s="16" t="n">
        <v>2</v>
      </c>
      <c r="G9" s="16" t="s">
        <v>34</v>
      </c>
      <c r="H9" s="19" t="s">
        <v>273</v>
      </c>
      <c r="I9" s="19"/>
    </row>
    <row r="10" customFormat="false" ht="15" hidden="false" customHeight="false" outlineLevel="0" collapsed="false">
      <c r="A10" s="19" t="s">
        <v>347</v>
      </c>
      <c r="B10" s="16" t="s">
        <v>351</v>
      </c>
      <c r="C10" s="16" t="n">
        <v>800</v>
      </c>
      <c r="D10" s="16" t="n">
        <v>54</v>
      </c>
      <c r="E10" s="16" t="n">
        <v>18</v>
      </c>
      <c r="F10" s="16" t="n">
        <v>4</v>
      </c>
      <c r="G10" s="16" t="s">
        <v>34</v>
      </c>
      <c r="H10" s="19" t="s">
        <v>273</v>
      </c>
      <c r="I10" s="19"/>
    </row>
    <row r="11" customFormat="false" ht="15" hidden="false" customHeight="false" outlineLevel="0" collapsed="false">
      <c r="A11" s="19" t="s">
        <v>347</v>
      </c>
      <c r="B11" s="16" t="s">
        <v>352</v>
      </c>
      <c r="C11" s="16" t="n">
        <v>1200</v>
      </c>
      <c r="D11" s="16" t="n">
        <v>400</v>
      </c>
      <c r="E11" s="16" t="n">
        <v>18</v>
      </c>
      <c r="F11" s="16" t="n">
        <v>1</v>
      </c>
      <c r="G11" s="16" t="s">
        <v>34</v>
      </c>
      <c r="H11" s="19" t="s">
        <v>273</v>
      </c>
      <c r="I11" s="19"/>
    </row>
    <row r="12" customFormat="false" ht="15" hidden="false" customHeight="false" outlineLevel="0" collapsed="false">
      <c r="A12" s="19" t="s">
        <v>347</v>
      </c>
      <c r="B12" s="16" t="s">
        <v>353</v>
      </c>
      <c r="C12" s="16" t="n">
        <v>1092</v>
      </c>
      <c r="D12" s="16" t="n">
        <v>400</v>
      </c>
      <c r="E12" s="16" t="n">
        <v>18</v>
      </c>
      <c r="F12" s="16" t="n">
        <v>1</v>
      </c>
      <c r="G12" s="16" t="s">
        <v>34</v>
      </c>
      <c r="H12" s="19" t="s">
        <v>273</v>
      </c>
      <c r="I12" s="19"/>
    </row>
    <row r="13" customFormat="false" ht="15" hidden="false" customHeight="false" outlineLevel="0" collapsed="false">
      <c r="A13" s="19" t="s">
        <v>347</v>
      </c>
      <c r="B13" s="16" t="s">
        <v>354</v>
      </c>
      <c r="C13" s="16" t="n">
        <v>1200</v>
      </c>
      <c r="D13" s="16" t="n">
        <v>54</v>
      </c>
      <c r="E13" s="16" t="n">
        <v>18</v>
      </c>
      <c r="F13" s="16" t="n">
        <v>1</v>
      </c>
      <c r="G13" s="16" t="s">
        <v>34</v>
      </c>
      <c r="H13" s="19" t="s">
        <v>273</v>
      </c>
      <c r="I13" s="19"/>
    </row>
    <row r="14" customFormat="false" ht="15" hidden="false" customHeight="false" outlineLevel="0" collapsed="false">
      <c r="A14" s="19" t="s">
        <v>347</v>
      </c>
      <c r="B14" s="16" t="s">
        <v>355</v>
      </c>
      <c r="C14" s="16" t="n">
        <v>1092</v>
      </c>
      <c r="D14" s="16" t="n">
        <v>54</v>
      </c>
      <c r="E14" s="16" t="n">
        <v>18</v>
      </c>
      <c r="F14" s="16" t="n">
        <v>1</v>
      </c>
      <c r="G14" s="16" t="s">
        <v>34</v>
      </c>
      <c r="H14" s="19" t="s">
        <v>273</v>
      </c>
      <c r="I14" s="19"/>
    </row>
    <row r="15" customFormat="false" ht="15" hidden="false" customHeight="false" outlineLevel="0" collapsed="false">
      <c r="A15" s="19" t="s">
        <v>347</v>
      </c>
      <c r="B15" s="16" t="s">
        <v>356</v>
      </c>
      <c r="C15" s="16" t="n">
        <v>1092</v>
      </c>
      <c r="D15" s="16" t="n">
        <v>374</v>
      </c>
      <c r="E15" s="16" t="n">
        <v>18</v>
      </c>
      <c r="F15" s="16" t="n">
        <v>1</v>
      </c>
      <c r="G15" s="16" t="s">
        <v>34</v>
      </c>
      <c r="H15" s="19" t="s">
        <v>273</v>
      </c>
      <c r="I15" s="19" t="s">
        <v>357</v>
      </c>
    </row>
    <row r="16" customFormat="false" ht="15" hidden="false" customHeight="false" outlineLevel="0" collapsed="false">
      <c r="A16" s="19" t="s">
        <v>347</v>
      </c>
      <c r="B16" s="16" t="s">
        <v>358</v>
      </c>
      <c r="C16" s="16" t="n">
        <v>1092</v>
      </c>
      <c r="D16" s="16" t="n">
        <v>150</v>
      </c>
      <c r="E16" s="16" t="n">
        <v>18</v>
      </c>
      <c r="F16" s="16" t="n">
        <v>1</v>
      </c>
      <c r="G16" s="16" t="s">
        <v>34</v>
      </c>
      <c r="H16" s="19" t="s">
        <v>273</v>
      </c>
      <c r="I16" s="19"/>
    </row>
    <row r="17" customFormat="false" ht="15" hidden="false" customHeight="false" outlineLevel="0" collapsed="false">
      <c r="A17" s="19" t="s">
        <v>347</v>
      </c>
      <c r="B17" s="16" t="s">
        <v>359</v>
      </c>
      <c r="C17" s="16" t="n">
        <v>356</v>
      </c>
      <c r="D17" s="16" t="n">
        <v>150</v>
      </c>
      <c r="E17" s="16" t="n">
        <v>18</v>
      </c>
      <c r="F17" s="16" t="n">
        <v>1</v>
      </c>
      <c r="G17" s="16" t="s">
        <v>34</v>
      </c>
      <c r="H17" s="19" t="s">
        <v>273</v>
      </c>
      <c r="I17" s="19"/>
    </row>
    <row r="18" customFormat="false" ht="15" hidden="false" customHeight="false" outlineLevel="0" collapsed="false">
      <c r="A18" s="19" t="s">
        <v>347</v>
      </c>
      <c r="B18" s="16" t="s">
        <v>360</v>
      </c>
      <c r="C18" s="16" t="n">
        <v>542.5</v>
      </c>
      <c r="D18" s="16" t="n">
        <v>166</v>
      </c>
      <c r="E18" s="16" t="n">
        <v>18</v>
      </c>
      <c r="F18" s="16" t="n">
        <v>2</v>
      </c>
      <c r="G18" s="16" t="s">
        <v>34</v>
      </c>
      <c r="H18" s="19" t="s">
        <v>273</v>
      </c>
      <c r="I18" s="19" t="s">
        <v>361</v>
      </c>
    </row>
    <row r="19" customFormat="false" ht="15" hidden="false" customHeight="false" outlineLevel="0" collapsed="false">
      <c r="A19" s="19" t="s">
        <v>347</v>
      </c>
      <c r="B19" s="16" t="s">
        <v>362</v>
      </c>
      <c r="C19" s="16" t="n">
        <v>350</v>
      </c>
      <c r="D19" s="16" t="n">
        <v>102</v>
      </c>
      <c r="E19" s="16" t="n">
        <v>18</v>
      </c>
      <c r="F19" s="16" t="n">
        <v>4</v>
      </c>
      <c r="G19" s="16" t="s">
        <v>34</v>
      </c>
      <c r="H19" s="19" t="s">
        <v>273</v>
      </c>
      <c r="I19" s="19" t="s">
        <v>363</v>
      </c>
    </row>
    <row r="20" customFormat="false" ht="15" hidden="false" customHeight="false" outlineLevel="0" collapsed="false">
      <c r="A20" s="19" t="s">
        <v>347</v>
      </c>
      <c r="B20" s="16" t="s">
        <v>364</v>
      </c>
      <c r="C20" s="16" t="n">
        <v>475</v>
      </c>
      <c r="D20" s="16" t="n">
        <v>84</v>
      </c>
      <c r="E20" s="16" t="n">
        <v>18</v>
      </c>
      <c r="F20" s="16" t="n">
        <v>4</v>
      </c>
      <c r="G20" s="16" t="s">
        <v>34</v>
      </c>
      <c r="H20" s="19" t="s">
        <v>273</v>
      </c>
      <c r="I20" s="19"/>
    </row>
    <row r="21" customFormat="false" ht="15" hidden="false" customHeight="false" outlineLevel="0" collapsed="false">
      <c r="A21" s="19" t="s">
        <v>347</v>
      </c>
      <c r="B21" s="16" t="s">
        <v>365</v>
      </c>
      <c r="C21" s="16" t="n">
        <v>490</v>
      </c>
      <c r="D21" s="16" t="n">
        <v>350</v>
      </c>
      <c r="E21" s="16" t="n">
        <v>8</v>
      </c>
      <c r="F21" s="16" t="n">
        <v>2</v>
      </c>
      <c r="G21" s="16" t="s">
        <v>366</v>
      </c>
      <c r="H21" s="19" t="s">
        <v>273</v>
      </c>
      <c r="I21" s="19" t="s">
        <v>367</v>
      </c>
    </row>
    <row r="22" customFormat="false" ht="15" hidden="false" customHeight="false" outlineLevel="0" collapsed="false">
      <c r="A22" s="19" t="s">
        <v>368</v>
      </c>
      <c r="B22" s="16" t="s">
        <v>369</v>
      </c>
      <c r="C22" s="16" t="n">
        <v>90</v>
      </c>
      <c r="D22" s="16" t="n">
        <v>90</v>
      </c>
      <c r="E22" s="16" t="n">
        <v>18</v>
      </c>
      <c r="F22" s="16" t="n">
        <v>3</v>
      </c>
      <c r="G22" s="16" t="s">
        <v>34</v>
      </c>
      <c r="H22" s="19" t="s">
        <v>273</v>
      </c>
      <c r="I22" s="19" t="s">
        <v>370</v>
      </c>
    </row>
    <row r="23" customFormat="false" ht="15" hidden="false" customHeight="false" outlineLevel="0" collapsed="false">
      <c r="A23" s="19" t="s">
        <v>368</v>
      </c>
      <c r="B23" s="16" t="s">
        <v>371</v>
      </c>
      <c r="C23" s="16" t="n">
        <v>150</v>
      </c>
      <c r="D23" s="16" t="n">
        <v>150</v>
      </c>
      <c r="E23" s="16" t="n">
        <v>18</v>
      </c>
      <c r="F23" s="16" t="n">
        <v>1</v>
      </c>
      <c r="G23" s="16" t="s">
        <v>34</v>
      </c>
      <c r="H23" s="19" t="s">
        <v>273</v>
      </c>
      <c r="I23" s="19" t="s">
        <v>372</v>
      </c>
    </row>
    <row r="24" customFormat="false" ht="15" hidden="false" customHeight="false" outlineLevel="0" collapsed="false">
      <c r="A24" s="19" t="s">
        <v>368</v>
      </c>
      <c r="B24" s="16" t="s">
        <v>373</v>
      </c>
      <c r="C24" s="16" t="n">
        <v>283</v>
      </c>
      <c r="D24" s="16" t="n">
        <v>714</v>
      </c>
      <c r="E24" s="16" t="n">
        <v>8</v>
      </c>
      <c r="F24" s="16" t="n">
        <v>1</v>
      </c>
      <c r="G24" s="16" t="s">
        <v>366</v>
      </c>
      <c r="H24" s="19" t="s">
        <v>273</v>
      </c>
      <c r="I24" s="19" t="s">
        <v>374</v>
      </c>
    </row>
    <row r="25" customFormat="false" ht="15" hidden="false" customHeight="false" outlineLevel="0" collapsed="false">
      <c r="A25" s="19" t="s">
        <v>368</v>
      </c>
      <c r="B25" s="9" t="s">
        <v>375</v>
      </c>
      <c r="C25" s="9"/>
      <c r="D25" s="9" t="n">
        <v>714</v>
      </c>
      <c r="E25" s="9" t="n">
        <v>18</v>
      </c>
      <c r="F25" s="9"/>
      <c r="G25" s="9" t="s">
        <v>34</v>
      </c>
      <c r="H25" s="19" t="s">
        <v>229</v>
      </c>
      <c r="I25" s="19" t="s">
        <v>376</v>
      </c>
    </row>
    <row r="26" customFormat="false" ht="15" hidden="false" customHeight="false" outlineLevel="0" collapsed="false">
      <c r="A26" s="19" t="s">
        <v>377</v>
      </c>
      <c r="B26" s="16" t="s">
        <v>378</v>
      </c>
      <c r="C26" s="16" t="n">
        <v>1233</v>
      </c>
      <c r="D26" s="16"/>
      <c r="E26" s="16" t="n">
        <v>18</v>
      </c>
      <c r="F26" s="16" t="n">
        <v>1</v>
      </c>
      <c r="G26" s="16" t="s">
        <v>34</v>
      </c>
      <c r="H26" s="19" t="s">
        <v>273</v>
      </c>
      <c r="I26" s="19" t="s">
        <v>379</v>
      </c>
    </row>
    <row r="27" customFormat="false" ht="15" hidden="false" customHeight="false" outlineLevel="0" collapsed="false">
      <c r="A27" s="19" t="s">
        <v>377</v>
      </c>
      <c r="B27" s="16" t="s">
        <v>380</v>
      </c>
      <c r="C27" s="16" t="n">
        <v>390</v>
      </c>
      <c r="D27" s="16" t="n">
        <v>390</v>
      </c>
      <c r="E27" s="16" t="n">
        <v>18</v>
      </c>
      <c r="F27" s="16" t="n">
        <v>2</v>
      </c>
      <c r="G27" s="16" t="s">
        <v>34</v>
      </c>
      <c r="H27" s="19" t="s">
        <v>273</v>
      </c>
      <c r="I27" s="19" t="s">
        <v>381</v>
      </c>
    </row>
    <row r="28" customFormat="false" ht="15" hidden="false" customHeight="false" outlineLevel="0" collapsed="false">
      <c r="A28" s="19" t="s">
        <v>377</v>
      </c>
      <c r="B28" s="16" t="s">
        <v>382</v>
      </c>
      <c r="C28" s="16"/>
      <c r="D28" s="16"/>
      <c r="E28" s="16" t="n">
        <v>18</v>
      </c>
      <c r="F28" s="16" t="n">
        <v>4</v>
      </c>
      <c r="G28" s="16" t="s">
        <v>34</v>
      </c>
      <c r="H28" s="19" t="s">
        <v>273</v>
      </c>
      <c r="I28" s="19" t="s">
        <v>383</v>
      </c>
    </row>
    <row r="29" customFormat="false" ht="15" hidden="false" customHeight="false" outlineLevel="0" collapsed="false">
      <c r="A29" s="19" t="s">
        <v>384</v>
      </c>
      <c r="B29" s="16" t="s">
        <v>378</v>
      </c>
      <c r="C29" s="16" t="n">
        <v>1233</v>
      </c>
      <c r="D29" s="16"/>
      <c r="E29" s="16" t="n">
        <v>18</v>
      </c>
      <c r="F29" s="16" t="n">
        <v>1</v>
      </c>
      <c r="G29" s="16" t="s">
        <v>34</v>
      </c>
      <c r="H29" s="19" t="s">
        <v>273</v>
      </c>
      <c r="I29" s="19" t="s">
        <v>385</v>
      </c>
    </row>
    <row r="30" customFormat="false" ht="15" hidden="false" customHeight="false" outlineLevel="0" collapsed="false">
      <c r="A30" s="19" t="s">
        <v>384</v>
      </c>
      <c r="B30" s="16" t="s">
        <v>386</v>
      </c>
      <c r="C30" s="16" t="n">
        <v>390</v>
      </c>
      <c r="D30" s="16" t="n">
        <v>390</v>
      </c>
      <c r="E30" s="16" t="n">
        <v>18</v>
      </c>
      <c r="F30" s="16" t="n">
        <v>2</v>
      </c>
      <c r="G30" s="16" t="s">
        <v>34</v>
      </c>
      <c r="H30" s="19" t="s">
        <v>273</v>
      </c>
      <c r="I30" s="19" t="s">
        <v>387</v>
      </c>
    </row>
    <row r="31" customFormat="false" ht="15" hidden="false" customHeight="false" outlineLevel="0" collapsed="false">
      <c r="A31" s="19" t="s">
        <v>388</v>
      </c>
      <c r="B31" s="16" t="s">
        <v>389</v>
      </c>
      <c r="C31" s="16"/>
      <c r="D31" s="16" t="n">
        <v>714</v>
      </c>
      <c r="E31" s="16" t="n">
        <v>18</v>
      </c>
      <c r="F31" s="16" t="n">
        <v>1</v>
      </c>
      <c r="G31" s="16" t="s">
        <v>34</v>
      </c>
      <c r="H31" s="19" t="s">
        <v>273</v>
      </c>
      <c r="I31" s="19" t="s">
        <v>390</v>
      </c>
    </row>
    <row r="32" customFormat="false" ht="15" hidden="false" customHeight="false" outlineLevel="0" collapsed="false">
      <c r="A32" s="19" t="s">
        <v>388</v>
      </c>
      <c r="B32" s="16" t="s">
        <v>391</v>
      </c>
      <c r="C32" s="16" t="n">
        <v>548.7</v>
      </c>
      <c r="D32" s="16" t="n">
        <v>548.7</v>
      </c>
      <c r="E32" s="16" t="n">
        <v>18</v>
      </c>
      <c r="F32" s="16" t="n">
        <v>1</v>
      </c>
      <c r="G32" s="16" t="s">
        <v>34</v>
      </c>
      <c r="H32" s="19" t="s">
        <v>273</v>
      </c>
      <c r="I32" s="19" t="s">
        <v>392</v>
      </c>
    </row>
    <row r="33" customFormat="false" ht="15" hidden="false" customHeight="false" outlineLevel="0" collapsed="false">
      <c r="A33" s="19" t="s">
        <v>388</v>
      </c>
      <c r="B33" s="16" t="s">
        <v>393</v>
      </c>
      <c r="C33" s="16" t="n">
        <v>305.4</v>
      </c>
      <c r="D33" s="16" t="n">
        <v>305.4</v>
      </c>
      <c r="E33" s="16" t="n">
        <v>18</v>
      </c>
      <c r="F33" s="16" t="n">
        <v>1</v>
      </c>
      <c r="G33" s="16" t="s">
        <v>34</v>
      </c>
      <c r="H33" s="19" t="s">
        <v>273</v>
      </c>
      <c r="I33" s="19" t="s">
        <v>394</v>
      </c>
    </row>
    <row r="34" customFormat="false" ht="15" hidden="false" customHeight="false" outlineLevel="0" collapsed="false">
      <c r="A34" s="19" t="s">
        <v>395</v>
      </c>
      <c r="B34" s="16" t="s">
        <v>396</v>
      </c>
      <c r="C34" s="16" t="n">
        <v>1200</v>
      </c>
      <c r="D34" s="16" t="n">
        <v>1200</v>
      </c>
      <c r="E34" s="16" t="n">
        <v>18</v>
      </c>
      <c r="F34" s="16" t="n">
        <v>1</v>
      </c>
      <c r="G34" s="16" t="s">
        <v>34</v>
      </c>
      <c r="H34" s="19" t="s">
        <v>273</v>
      </c>
      <c r="I34" s="19" t="s">
        <v>397</v>
      </c>
    </row>
    <row r="35" customFormat="false" ht="15" hidden="false" customHeight="false" outlineLevel="0" collapsed="false">
      <c r="A35" s="19" t="s">
        <v>398</v>
      </c>
      <c r="B35" s="16" t="s">
        <v>389</v>
      </c>
      <c r="C35" s="16"/>
      <c r="D35" s="16" t="n">
        <v>382</v>
      </c>
      <c r="E35" s="16" t="n">
        <v>18</v>
      </c>
      <c r="F35" s="16" t="n">
        <v>1</v>
      </c>
      <c r="G35" s="16" t="s">
        <v>34</v>
      </c>
      <c r="H35" s="19" t="s">
        <v>273</v>
      </c>
      <c r="I35" s="19" t="s">
        <v>399</v>
      </c>
    </row>
    <row r="36" customFormat="false" ht="15" hidden="false" customHeight="false" outlineLevel="0" collapsed="false">
      <c r="A36" s="19" t="s">
        <v>400</v>
      </c>
      <c r="B36" s="16" t="s">
        <v>389</v>
      </c>
      <c r="C36" s="16"/>
      <c r="D36" s="16" t="n">
        <v>432</v>
      </c>
      <c r="E36" s="16" t="n">
        <v>18</v>
      </c>
      <c r="F36" s="16" t="n">
        <v>1</v>
      </c>
      <c r="G36" s="16" t="s">
        <v>34</v>
      </c>
      <c r="H36" s="19" t="s">
        <v>273</v>
      </c>
      <c r="I36" s="19" t="s">
        <v>401</v>
      </c>
    </row>
    <row r="37" customFormat="false" ht="15" hidden="false" customHeight="false" outlineLevel="0" collapsed="false">
      <c r="A37" s="19" t="s">
        <v>402</v>
      </c>
      <c r="B37" s="16" t="s">
        <v>403</v>
      </c>
      <c r="C37" s="16" t="n">
        <v>900</v>
      </c>
      <c r="D37" s="16" t="n">
        <v>900</v>
      </c>
      <c r="E37" s="16" t="n">
        <v>18</v>
      </c>
      <c r="F37" s="16" t="n">
        <v>1</v>
      </c>
      <c r="G37" s="16" t="s">
        <v>34</v>
      </c>
      <c r="H37" s="19" t="s">
        <v>273</v>
      </c>
      <c r="I37" s="19" t="s">
        <v>404</v>
      </c>
    </row>
    <row r="38" customFormat="false" ht="15" hidden="false" customHeight="false" outlineLevel="0" collapsed="false">
      <c r="A38" s="19" t="s">
        <v>65</v>
      </c>
      <c r="B38" s="9" t="s">
        <v>340</v>
      </c>
      <c r="C38" s="9" t="n">
        <v>2000</v>
      </c>
      <c r="D38" s="9" t="n">
        <v>1000</v>
      </c>
      <c r="E38" s="9" t="n">
        <v>18</v>
      </c>
      <c r="F38" s="9" t="n">
        <v>1</v>
      </c>
      <c r="G38" s="9" t="s">
        <v>66</v>
      </c>
      <c r="H38" s="19" t="s">
        <v>229</v>
      </c>
      <c r="I38" s="19" t="s">
        <v>405</v>
      </c>
    </row>
    <row r="39" customFormat="false" ht="15" hidden="false" customHeight="false" outlineLevel="0" collapsed="false">
      <c r="A39" s="19" t="s">
        <v>65</v>
      </c>
      <c r="B39" s="9" t="s">
        <v>406</v>
      </c>
      <c r="C39" s="9" t="n">
        <v>65</v>
      </c>
      <c r="D39" s="9"/>
      <c r="E39" s="9" t="n">
        <v>18</v>
      </c>
      <c r="F39" s="9" t="n">
        <v>2</v>
      </c>
      <c r="G39" s="9" t="s">
        <v>66</v>
      </c>
      <c r="H39" s="19" t="s">
        <v>229</v>
      </c>
      <c r="I39" s="19" t="s">
        <v>407</v>
      </c>
    </row>
    <row r="40" customFormat="false" ht="15" hidden="false" customHeight="false" outlineLevel="0" collapsed="false">
      <c r="A40" s="19" t="s">
        <v>408</v>
      </c>
      <c r="B40" s="16" t="s">
        <v>340</v>
      </c>
      <c r="C40" s="16" t="n">
        <v>1300</v>
      </c>
      <c r="D40" s="16" t="n">
        <v>700</v>
      </c>
      <c r="E40" s="16" t="n">
        <v>18</v>
      </c>
      <c r="F40" s="16" t="n">
        <v>1</v>
      </c>
      <c r="G40" s="16" t="s">
        <v>56</v>
      </c>
      <c r="H40" s="19" t="s">
        <v>273</v>
      </c>
      <c r="I40" s="19" t="s">
        <v>409</v>
      </c>
    </row>
    <row r="41" customFormat="false" ht="15" hidden="false" customHeight="false" outlineLevel="0" collapsed="false">
      <c r="A41" s="19" t="s">
        <v>408</v>
      </c>
      <c r="B41" s="9" t="s">
        <v>410</v>
      </c>
      <c r="C41" s="9" t="n">
        <v>65</v>
      </c>
      <c r="D41" s="9"/>
      <c r="E41" s="9" t="n">
        <v>18</v>
      </c>
      <c r="F41" s="9" t="n">
        <v>2</v>
      </c>
      <c r="G41" s="9" t="s">
        <v>56</v>
      </c>
      <c r="H41" s="19" t="s">
        <v>229</v>
      </c>
      <c r="I41" s="19" t="s">
        <v>411</v>
      </c>
    </row>
    <row r="42" customFormat="false" ht="15" hidden="false" customHeight="false" outlineLevel="0" collapsed="false">
      <c r="A42" s="23"/>
      <c r="B42" s="23"/>
      <c r="C42" s="23"/>
      <c r="D42" s="23"/>
      <c r="E42" s="23"/>
      <c r="F42" s="23"/>
      <c r="G42" s="23"/>
      <c r="H42" s="23"/>
      <c r="I42" s="23"/>
    </row>
    <row r="43" customFormat="false" ht="15" hidden="false" customHeight="false" outlineLevel="0" collapsed="false">
      <c r="A43" s="23"/>
      <c r="B43" s="23"/>
      <c r="C43" s="23"/>
      <c r="D43" s="23"/>
      <c r="E43" s="23"/>
      <c r="F43" s="23"/>
      <c r="G43" s="23"/>
      <c r="H43" s="23"/>
      <c r="I43" s="23"/>
    </row>
    <row r="44" customFormat="false" ht="15" hidden="false" customHeight="false" outlineLevel="0" collapsed="false">
      <c r="A44" s="23"/>
      <c r="B44" s="23"/>
      <c r="C44" s="23"/>
      <c r="D44" s="23"/>
      <c r="E44" s="23"/>
      <c r="F44" s="23"/>
      <c r="G44" s="23"/>
      <c r="H44" s="23"/>
      <c r="I44" s="23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23"/>
    </row>
    <row r="48" customFormat="false" ht="15" hidden="false" customHeight="false" outlineLevel="0" collapsed="false">
      <c r="A48" s="23"/>
      <c r="B48" s="23"/>
      <c r="C48" s="23"/>
      <c r="D48" s="23"/>
      <c r="E48" s="23"/>
      <c r="F48" s="23"/>
      <c r="G48" s="23"/>
      <c r="H48" s="23"/>
      <c r="I48" s="23"/>
    </row>
    <row r="49" customFormat="false" ht="15" hidden="false" customHeight="false" outlineLevel="0" collapsed="false">
      <c r="A49" s="23"/>
      <c r="B49" s="23"/>
      <c r="C49" s="23"/>
      <c r="D49" s="23"/>
      <c r="E49" s="23"/>
      <c r="F49" s="23"/>
      <c r="G49" s="23"/>
      <c r="H49" s="23"/>
      <c r="I49" s="23"/>
    </row>
    <row r="50" customFormat="false" ht="15" hidden="false" customHeight="false" outlineLevel="0" collapsed="false">
      <c r="A50" s="23"/>
      <c r="B50" s="23"/>
      <c r="C50" s="23"/>
      <c r="D50" s="23"/>
      <c r="E50" s="23"/>
      <c r="F50" s="23"/>
      <c r="G50" s="23"/>
      <c r="H50" s="23"/>
      <c r="I50" s="23"/>
    </row>
    <row r="51" customFormat="false" ht="15" hidden="false" customHeight="false" outlineLevel="0" collapsed="false">
      <c r="A51" s="23"/>
      <c r="B51" s="23"/>
      <c r="C51" s="23"/>
      <c r="D51" s="23"/>
      <c r="E51" s="23"/>
      <c r="F51" s="23"/>
      <c r="G51" s="23"/>
      <c r="H51" s="23"/>
      <c r="I51" s="23"/>
    </row>
    <row r="52" customFormat="false" ht="15" hidden="false" customHeight="false" outlineLevel="0" collapsed="false">
      <c r="A52" s="23"/>
      <c r="B52" s="23"/>
      <c r="C52" s="23"/>
      <c r="D52" s="23"/>
      <c r="E52" s="23"/>
      <c r="F52" s="23"/>
      <c r="G52" s="23"/>
      <c r="H52" s="23"/>
      <c r="I52" s="23"/>
    </row>
    <row r="53" customFormat="false" ht="15" hidden="false" customHeight="false" outlineLevel="0" collapsed="false">
      <c r="A53" s="23"/>
      <c r="B53" s="23"/>
      <c r="C53" s="23"/>
      <c r="D53" s="23"/>
      <c r="E53" s="23"/>
      <c r="F53" s="23"/>
      <c r="G53" s="23"/>
      <c r="H53" s="23"/>
      <c r="I53" s="23"/>
    </row>
    <row r="54" customFormat="false" ht="15" hidden="false" customHeight="false" outlineLevel="0" collapsed="false">
      <c r="A54" s="23"/>
      <c r="B54" s="23"/>
      <c r="C54" s="23"/>
      <c r="D54" s="23"/>
      <c r="E54" s="23"/>
      <c r="F54" s="23"/>
      <c r="G54" s="23"/>
      <c r="H54" s="23"/>
      <c r="I54" s="23"/>
    </row>
    <row r="55" customFormat="false" ht="15" hidden="false" customHeight="false" outlineLevel="0" collapsed="false">
      <c r="A55" s="23"/>
      <c r="B55" s="23"/>
      <c r="C55" s="23"/>
      <c r="D55" s="23"/>
      <c r="E55" s="23"/>
      <c r="F55" s="23"/>
      <c r="G55" s="23"/>
      <c r="H55" s="23"/>
      <c r="I55" s="23"/>
    </row>
    <row r="56" customFormat="false" ht="15" hidden="false" customHeight="false" outlineLevel="0" collapsed="false">
      <c r="A56" s="23"/>
      <c r="B56" s="23"/>
      <c r="C56" s="23"/>
      <c r="D56" s="23"/>
      <c r="E56" s="23"/>
      <c r="F56" s="23"/>
      <c r="G56" s="23"/>
      <c r="H56" s="23"/>
      <c r="I56" s="23"/>
    </row>
    <row r="57" customFormat="false" ht="15" hidden="false" customHeight="false" outlineLevel="0" collapsed="false">
      <c r="A57" s="23"/>
      <c r="B57" s="23"/>
      <c r="C57" s="23"/>
      <c r="D57" s="23"/>
      <c r="E57" s="23"/>
      <c r="F57" s="23"/>
      <c r="G57" s="23"/>
      <c r="H57" s="23"/>
      <c r="I57" s="23"/>
    </row>
    <row r="58" customFormat="false" ht="15" hidden="false" customHeight="false" outlineLevel="0" collapsed="false">
      <c r="A58" s="23"/>
      <c r="B58" s="23"/>
      <c r="C58" s="23"/>
      <c r="D58" s="23"/>
      <c r="E58" s="23"/>
      <c r="F58" s="23"/>
      <c r="G58" s="23"/>
      <c r="H58" s="23"/>
      <c r="I58" s="23"/>
    </row>
    <row r="59" customFormat="false" ht="15" hidden="false" customHeight="false" outlineLevel="0" collapsed="false">
      <c r="A59" s="23"/>
      <c r="B59" s="23"/>
      <c r="C59" s="23"/>
      <c r="D59" s="23"/>
      <c r="E59" s="23"/>
      <c r="F59" s="23"/>
      <c r="G59" s="23"/>
      <c r="H59" s="23"/>
      <c r="I59" s="23"/>
    </row>
    <row r="60" customFormat="false" ht="15" hidden="false" customHeight="false" outlineLevel="0" collapsed="false">
      <c r="A60" s="23"/>
      <c r="B60" s="23"/>
      <c r="C60" s="23"/>
      <c r="D60" s="23"/>
      <c r="E60" s="23"/>
      <c r="F60" s="23"/>
      <c r="G60" s="23"/>
      <c r="H60" s="23"/>
      <c r="I60" s="23"/>
    </row>
    <row r="61" customFormat="false" ht="15" hidden="false" customHeight="false" outlineLevel="0" collapsed="false">
      <c r="A61" s="23"/>
      <c r="B61" s="23"/>
      <c r="C61" s="23"/>
      <c r="D61" s="23"/>
      <c r="E61" s="23"/>
      <c r="F61" s="23"/>
      <c r="G61" s="23"/>
      <c r="H61" s="23"/>
      <c r="I61" s="23"/>
    </row>
    <row r="62" customFormat="false" ht="15" hidden="false" customHeight="false" outlineLevel="0" collapsed="false">
      <c r="A62" s="23"/>
      <c r="B62" s="23"/>
      <c r="C62" s="23"/>
      <c r="D62" s="23"/>
      <c r="E62" s="23"/>
      <c r="F62" s="23"/>
      <c r="G62" s="23"/>
      <c r="H62" s="23"/>
      <c r="I62" s="23"/>
    </row>
    <row r="63" customFormat="false" ht="15" hidden="false" customHeight="false" outlineLevel="0" collapsed="false">
      <c r="A63" s="23"/>
      <c r="B63" s="23"/>
      <c r="C63" s="23"/>
      <c r="D63" s="23"/>
      <c r="E63" s="23"/>
      <c r="F63" s="23"/>
      <c r="G63" s="23"/>
      <c r="H63" s="23"/>
      <c r="I63" s="23"/>
    </row>
    <row r="64" customFormat="false" ht="15" hidden="false" customHeight="false" outlineLevel="0" collapsed="false">
      <c r="A64" s="23"/>
      <c r="B64" s="23"/>
      <c r="C64" s="23"/>
      <c r="D64" s="23"/>
      <c r="E64" s="23"/>
      <c r="F64" s="23"/>
      <c r="G64" s="23"/>
      <c r="H64" s="23"/>
      <c r="I64" s="23"/>
    </row>
    <row r="65" customFormat="false" ht="15" hidden="false" customHeight="false" outlineLevel="0" collapsed="false">
      <c r="A65" s="23"/>
      <c r="B65" s="23"/>
      <c r="C65" s="23"/>
      <c r="D65" s="23"/>
      <c r="E65" s="23"/>
      <c r="F65" s="23"/>
      <c r="G65" s="23"/>
      <c r="H65" s="23"/>
      <c r="I65" s="23"/>
    </row>
    <row r="66" customFormat="false" ht="15" hidden="false" customHeight="false" outlineLevel="0" collapsed="false">
      <c r="A66" s="23"/>
      <c r="B66" s="23"/>
      <c r="C66" s="23"/>
      <c r="D66" s="23"/>
      <c r="E66" s="23"/>
      <c r="F66" s="23"/>
      <c r="G66" s="23"/>
      <c r="H66" s="23"/>
      <c r="I66" s="23"/>
    </row>
    <row r="67" customFormat="false" ht="15" hidden="false" customHeight="false" outlineLevel="0" collapsed="false">
      <c r="A67" s="23"/>
      <c r="B67" s="23"/>
      <c r="C67" s="23"/>
      <c r="D67" s="23"/>
      <c r="E67" s="23"/>
      <c r="F67" s="23"/>
      <c r="G67" s="23"/>
      <c r="H67" s="23"/>
      <c r="I67" s="23"/>
    </row>
    <row r="68" customFormat="false" ht="15" hidden="false" customHeight="false" outlineLevel="0" collapsed="false">
      <c r="A68" s="23"/>
      <c r="B68" s="23"/>
      <c r="C68" s="23"/>
      <c r="D68" s="23"/>
      <c r="E68" s="23"/>
      <c r="F68" s="23"/>
      <c r="G68" s="23"/>
      <c r="H68" s="23"/>
      <c r="I68" s="23"/>
    </row>
    <row r="69" customFormat="false" ht="15" hidden="false" customHeight="false" outlineLevel="0" collapsed="false">
      <c r="A69" s="23"/>
      <c r="B69" s="23"/>
      <c r="C69" s="23"/>
      <c r="D69" s="23"/>
      <c r="E69" s="23"/>
      <c r="F69" s="23"/>
      <c r="G69" s="23"/>
      <c r="H69" s="23"/>
      <c r="I69" s="23"/>
    </row>
    <row r="70" customFormat="false" ht="15" hidden="false" customHeight="false" outlineLevel="0" collapsed="false">
      <c r="A70" s="23"/>
      <c r="B70" s="23"/>
      <c r="C70" s="23"/>
      <c r="D70" s="23"/>
      <c r="E70" s="23"/>
      <c r="F70" s="23"/>
      <c r="G70" s="23"/>
      <c r="H70" s="23"/>
      <c r="I70" s="23"/>
    </row>
    <row r="71" customFormat="false" ht="15" hidden="false" customHeight="false" outlineLevel="0" collapsed="false">
      <c r="A71" s="23"/>
      <c r="B71" s="23"/>
      <c r="C71" s="23"/>
      <c r="D71" s="23"/>
      <c r="E71" s="23"/>
      <c r="F71" s="23"/>
      <c r="G71" s="23"/>
      <c r="H71" s="23"/>
      <c r="I71" s="23"/>
    </row>
    <row r="72" customFormat="false" ht="15" hidden="false" customHeight="false" outlineLevel="0" collapsed="false">
      <c r="A72" s="23"/>
      <c r="B72" s="23"/>
      <c r="C72" s="23"/>
      <c r="D72" s="23"/>
      <c r="E72" s="23"/>
      <c r="F72" s="23"/>
      <c r="G72" s="23"/>
      <c r="H72" s="23"/>
      <c r="I72" s="23"/>
    </row>
    <row r="73" customFormat="false" ht="15" hidden="false" customHeight="false" outlineLevel="0" collapsed="false">
      <c r="A73" s="23"/>
      <c r="B73" s="23"/>
      <c r="C73" s="23"/>
      <c r="D73" s="23"/>
      <c r="E73" s="23"/>
      <c r="F73" s="23"/>
      <c r="G73" s="23"/>
      <c r="H73" s="23"/>
      <c r="I73" s="23"/>
    </row>
    <row r="74" customFormat="false" ht="15" hidden="false" customHeight="false" outlineLevel="0" collapsed="false">
      <c r="A74" s="23"/>
      <c r="B74" s="23"/>
      <c r="C74" s="23"/>
      <c r="D74" s="23"/>
      <c r="E74" s="23"/>
      <c r="F74" s="23"/>
      <c r="G74" s="23"/>
      <c r="H74" s="23"/>
      <c r="I74" s="23"/>
    </row>
    <row r="75" customFormat="false" ht="15" hidden="false" customHeight="false" outlineLevel="0" collapsed="false">
      <c r="A75" s="23"/>
      <c r="B75" s="23"/>
      <c r="C75" s="23"/>
      <c r="D75" s="23"/>
      <c r="E75" s="23"/>
      <c r="F75" s="23"/>
      <c r="G75" s="23"/>
      <c r="H75" s="23"/>
      <c r="I75" s="23"/>
    </row>
    <row r="76" customFormat="false" ht="15" hidden="false" customHeight="false" outlineLevel="0" collapsed="false">
      <c r="A76" s="23"/>
      <c r="B76" s="23"/>
      <c r="C76" s="23"/>
      <c r="D76" s="23"/>
      <c r="E76" s="23"/>
      <c r="F76" s="23"/>
      <c r="G76" s="23"/>
      <c r="H76" s="23"/>
      <c r="I76" s="23"/>
    </row>
    <row r="77" customFormat="false" ht="15" hidden="false" customHeight="false" outlineLevel="0" collapsed="false">
      <c r="A77" s="23"/>
      <c r="B77" s="23"/>
      <c r="C77" s="23"/>
      <c r="D77" s="23"/>
      <c r="E77" s="23"/>
      <c r="F77" s="23"/>
      <c r="G77" s="23"/>
      <c r="H77" s="23"/>
      <c r="I77" s="23"/>
    </row>
    <row r="78" customFormat="false" ht="15" hidden="false" customHeight="false" outlineLevel="0" collapsed="false">
      <c r="A78" s="23"/>
      <c r="B78" s="23"/>
      <c r="C78" s="23"/>
      <c r="D78" s="23"/>
      <c r="E78" s="23"/>
      <c r="F78" s="23"/>
      <c r="G78" s="23"/>
      <c r="H78" s="23"/>
      <c r="I78" s="23"/>
    </row>
    <row r="79" customFormat="false" ht="15" hidden="false" customHeight="false" outlineLevel="0" collapsed="false">
      <c r="A79" s="23"/>
      <c r="B79" s="23"/>
      <c r="C79" s="23"/>
      <c r="D79" s="23"/>
      <c r="E79" s="23"/>
      <c r="F79" s="23"/>
      <c r="G79" s="23"/>
      <c r="H79" s="23"/>
      <c r="I79" s="23"/>
    </row>
    <row r="80" customFormat="false" ht="15" hidden="false" customHeight="false" outlineLevel="0" collapsed="false">
      <c r="A80" s="23"/>
      <c r="B80" s="23"/>
      <c r="C80" s="23"/>
      <c r="D80" s="23"/>
      <c r="E80" s="23"/>
      <c r="F80" s="23"/>
      <c r="G80" s="23"/>
      <c r="H80" s="23"/>
      <c r="I80" s="23"/>
    </row>
    <row r="81" customFormat="false" ht="15" hidden="false" customHeight="false" outlineLevel="0" collapsed="false">
      <c r="A81" s="23"/>
      <c r="B81" s="23"/>
      <c r="C81" s="23"/>
      <c r="D81" s="23"/>
      <c r="E81" s="23"/>
      <c r="F81" s="23"/>
      <c r="G81" s="23"/>
      <c r="H81" s="23"/>
      <c r="I81" s="23"/>
    </row>
    <row r="82" customFormat="false" ht="15" hidden="false" customHeight="false" outlineLevel="0" collapsed="false">
      <c r="A82" s="23"/>
      <c r="B82" s="23"/>
      <c r="C82" s="23"/>
      <c r="D82" s="23"/>
      <c r="E82" s="23"/>
      <c r="F82" s="23"/>
      <c r="G82" s="23"/>
      <c r="H82" s="23"/>
      <c r="I82" s="23"/>
    </row>
    <row r="83" customFormat="false" ht="15" hidden="false" customHeight="false" outlineLevel="0" collapsed="false">
      <c r="A83" s="23"/>
      <c r="B83" s="23"/>
      <c r="C83" s="23"/>
      <c r="D83" s="23"/>
      <c r="E83" s="23"/>
      <c r="F83" s="23"/>
      <c r="G83" s="23"/>
      <c r="H83" s="23"/>
      <c r="I83" s="23"/>
    </row>
    <row r="84" customFormat="false" ht="15" hidden="false" customHeight="false" outlineLevel="0" collapsed="false">
      <c r="A84" s="23"/>
      <c r="B84" s="23"/>
      <c r="C84" s="23"/>
      <c r="D84" s="23"/>
      <c r="E84" s="23"/>
      <c r="F84" s="23"/>
      <c r="G84" s="23"/>
      <c r="H84" s="23"/>
      <c r="I84" s="23"/>
    </row>
    <row r="85" customFormat="false" ht="15" hidden="false" customHeight="false" outlineLevel="0" collapsed="false">
      <c r="A85" s="23"/>
      <c r="B85" s="23"/>
      <c r="C85" s="23"/>
      <c r="D85" s="23"/>
      <c r="E85" s="23"/>
      <c r="F85" s="23"/>
      <c r="G85" s="23"/>
      <c r="H85" s="23"/>
      <c r="I85" s="23"/>
    </row>
    <row r="86" customFormat="false" ht="15" hidden="false" customHeight="false" outlineLevel="0" collapsed="false">
      <c r="A86" s="23"/>
      <c r="B86" s="23"/>
      <c r="C86" s="23"/>
      <c r="D86" s="23"/>
      <c r="E86" s="23"/>
      <c r="F86" s="23"/>
      <c r="G86" s="23"/>
      <c r="H86" s="23"/>
      <c r="I86" s="23"/>
    </row>
    <row r="87" customFormat="false" ht="15" hidden="false" customHeight="false" outlineLevel="0" collapsed="false">
      <c r="A87" s="23"/>
      <c r="B87" s="23"/>
      <c r="C87" s="23"/>
      <c r="D87" s="23"/>
      <c r="E87" s="23"/>
      <c r="F87" s="23"/>
      <c r="G87" s="23"/>
      <c r="H87" s="23"/>
      <c r="I87" s="23"/>
    </row>
    <row r="88" customFormat="false" ht="15" hidden="false" customHeight="false" outlineLevel="0" collapsed="false">
      <c r="A88" s="23"/>
      <c r="B88" s="23"/>
      <c r="C88" s="23"/>
      <c r="D88" s="23"/>
      <c r="E88" s="23"/>
      <c r="F88" s="23"/>
      <c r="G88" s="23"/>
      <c r="H88" s="23"/>
      <c r="I88" s="23"/>
    </row>
    <row r="89" customFormat="false" ht="15" hidden="false" customHeight="false" outlineLevel="0" collapsed="false">
      <c r="A89" s="23"/>
      <c r="B89" s="23"/>
      <c r="C89" s="23"/>
      <c r="D89" s="23"/>
      <c r="E89" s="23"/>
      <c r="F89" s="23"/>
      <c r="G89" s="23"/>
      <c r="H89" s="23"/>
      <c r="I89" s="23"/>
    </row>
    <row r="90" customFormat="false" ht="15" hidden="false" customHeight="false" outlineLevel="0" collapsed="false">
      <c r="A90" s="23"/>
      <c r="B90" s="23"/>
      <c r="C90" s="23"/>
      <c r="D90" s="23"/>
      <c r="E90" s="23"/>
      <c r="F90" s="23"/>
      <c r="G90" s="23"/>
      <c r="H90" s="23"/>
      <c r="I90" s="23"/>
    </row>
    <row r="91" customFormat="false" ht="15" hidden="false" customHeight="false" outlineLevel="0" collapsed="false">
      <c r="A91" s="23"/>
      <c r="B91" s="23"/>
      <c r="C91" s="23"/>
      <c r="D91" s="23"/>
      <c r="E91" s="23"/>
      <c r="F91" s="23"/>
      <c r="G91" s="23"/>
      <c r="H91" s="23"/>
      <c r="I91" s="23"/>
    </row>
    <row r="92" customFormat="false" ht="15" hidden="false" customHeight="false" outlineLevel="0" collapsed="false">
      <c r="A92" s="23"/>
      <c r="B92" s="23"/>
      <c r="C92" s="23"/>
      <c r="D92" s="23"/>
      <c r="E92" s="23"/>
      <c r="F92" s="23"/>
      <c r="G92" s="23"/>
      <c r="H92" s="23"/>
      <c r="I92" s="23"/>
    </row>
    <row r="93" customFormat="false" ht="15" hidden="false" customHeight="false" outlineLevel="0" collapsed="false">
      <c r="A93" s="23"/>
      <c r="B93" s="23"/>
      <c r="C93" s="23"/>
      <c r="D93" s="23"/>
      <c r="E93" s="23"/>
      <c r="F93" s="23"/>
      <c r="G93" s="23"/>
      <c r="H93" s="23"/>
      <c r="I93" s="23"/>
    </row>
    <row r="94" customFormat="false" ht="15" hidden="false" customHeight="false" outlineLevel="0" collapsed="false">
      <c r="A94" s="23"/>
      <c r="B94" s="23"/>
      <c r="C94" s="23"/>
      <c r="D94" s="23"/>
      <c r="E94" s="23"/>
      <c r="F94" s="23"/>
      <c r="G94" s="23"/>
      <c r="H94" s="23"/>
      <c r="I94" s="23"/>
    </row>
    <row r="95" customFormat="false" ht="15" hidden="false" customHeight="false" outlineLevel="0" collapsed="false">
      <c r="A95" s="23"/>
      <c r="B95" s="23"/>
      <c r="C95" s="23"/>
      <c r="D95" s="23"/>
      <c r="E95" s="23"/>
      <c r="F95" s="23"/>
      <c r="G95" s="23"/>
      <c r="H95" s="23"/>
      <c r="I95" s="23"/>
    </row>
    <row r="96" customFormat="false" ht="15" hidden="false" customHeight="false" outlineLevel="0" collapsed="false">
      <c r="A96" s="23"/>
      <c r="B96" s="23"/>
      <c r="C96" s="23"/>
      <c r="D96" s="23"/>
      <c r="E96" s="23"/>
      <c r="F96" s="23"/>
      <c r="G96" s="23"/>
      <c r="H96" s="23"/>
      <c r="I96" s="23"/>
    </row>
    <row r="97" customFormat="false" ht="15" hidden="false" customHeight="false" outlineLevel="0" collapsed="false">
      <c r="A97" s="23"/>
      <c r="B97" s="23"/>
      <c r="C97" s="23"/>
      <c r="D97" s="23"/>
      <c r="E97" s="23"/>
      <c r="F97" s="23"/>
      <c r="G97" s="23"/>
      <c r="H97" s="23"/>
      <c r="I97" s="23"/>
    </row>
    <row r="98" customFormat="false" ht="15" hidden="false" customHeight="false" outlineLevel="0" collapsed="false">
      <c r="A98" s="23"/>
      <c r="B98" s="23"/>
      <c r="C98" s="23"/>
      <c r="D98" s="23"/>
      <c r="E98" s="23"/>
      <c r="F98" s="23"/>
      <c r="G98" s="23"/>
      <c r="H98" s="23"/>
      <c r="I98" s="23"/>
    </row>
    <row r="99" customFormat="false" ht="15" hidden="false" customHeight="false" outlineLevel="0" collapsed="false">
      <c r="A99" s="23"/>
      <c r="B99" s="23"/>
      <c r="C99" s="23"/>
      <c r="D99" s="23"/>
      <c r="E99" s="23"/>
      <c r="F99" s="23"/>
      <c r="G99" s="23"/>
      <c r="H99" s="23"/>
      <c r="I99" s="23"/>
    </row>
    <row r="100" customFormat="false" ht="15" hidden="false" customHeight="false" outlineLevel="0" collapsed="false">
      <c r="A100" s="23"/>
      <c r="B100" s="23"/>
      <c r="C100" s="23"/>
      <c r="D100" s="23"/>
      <c r="E100" s="23"/>
      <c r="F100" s="23"/>
      <c r="G100" s="23"/>
      <c r="H100" s="23"/>
      <c r="I100" s="23"/>
    </row>
    <row r="101" customFormat="false" ht="15" hidden="false" customHeight="false" outlineLevel="0" collapsed="false">
      <c r="A101" s="23"/>
      <c r="B101" s="23"/>
      <c r="C101" s="23"/>
      <c r="D101" s="23"/>
      <c r="E101" s="23"/>
      <c r="F101" s="23"/>
      <c r="G101" s="23"/>
      <c r="H101" s="23"/>
      <c r="I101" s="23"/>
    </row>
    <row r="102" customFormat="false" ht="15" hidden="false" customHeight="false" outlineLevel="0" collapsed="false">
      <c r="A102" s="23"/>
      <c r="B102" s="23"/>
      <c r="C102" s="23"/>
      <c r="D102" s="23"/>
      <c r="E102" s="23"/>
      <c r="F102" s="23"/>
      <c r="G102" s="23"/>
      <c r="H102" s="23"/>
      <c r="I102" s="23"/>
    </row>
    <row r="103" customFormat="false" ht="15" hidden="false" customHeight="false" outlineLevel="0" collapsed="false">
      <c r="A103" s="23"/>
      <c r="B103" s="23"/>
      <c r="C103" s="23"/>
      <c r="D103" s="23"/>
      <c r="E103" s="23"/>
      <c r="F103" s="23"/>
      <c r="G103" s="23"/>
      <c r="H103" s="23"/>
      <c r="I103" s="23"/>
    </row>
    <row r="104" customFormat="false" ht="15" hidden="false" customHeight="false" outlineLevel="0" collapsed="false">
      <c r="A104" s="23"/>
      <c r="B104" s="23"/>
      <c r="C104" s="23"/>
      <c r="D104" s="23"/>
      <c r="E104" s="23"/>
      <c r="F104" s="23"/>
      <c r="G104" s="23"/>
      <c r="H104" s="23"/>
      <c r="I104" s="23"/>
    </row>
    <row r="105" customFormat="false" ht="15" hidden="false" customHeight="false" outlineLevel="0" collapsed="false">
      <c r="A105" s="23"/>
      <c r="B105" s="23"/>
      <c r="C105" s="23"/>
      <c r="D105" s="23"/>
      <c r="E105" s="23"/>
      <c r="F105" s="23"/>
      <c r="G105" s="23"/>
      <c r="H105" s="23"/>
      <c r="I105" s="23"/>
    </row>
    <row r="106" customFormat="false" ht="15" hidden="false" customHeight="false" outlineLevel="0" collapsed="false">
      <c r="A106" s="23"/>
      <c r="B106" s="23"/>
      <c r="C106" s="23"/>
      <c r="D106" s="23"/>
      <c r="E106" s="23"/>
      <c r="F106" s="23"/>
      <c r="G106" s="23"/>
      <c r="H106" s="23"/>
      <c r="I106" s="23"/>
    </row>
    <row r="107" customFormat="false" ht="15" hidden="false" customHeight="false" outlineLevel="0" collapsed="false">
      <c r="A107" s="23"/>
      <c r="B107" s="23"/>
      <c r="C107" s="23"/>
      <c r="D107" s="23"/>
      <c r="E107" s="23"/>
      <c r="F107" s="23"/>
      <c r="G107" s="23"/>
      <c r="H107" s="23"/>
      <c r="I107" s="23"/>
    </row>
    <row r="108" customFormat="false" ht="15" hidden="false" customHeight="false" outlineLevel="0" collapsed="false">
      <c r="A108" s="23"/>
      <c r="B108" s="23"/>
      <c r="C108" s="23"/>
      <c r="D108" s="23"/>
      <c r="E108" s="23"/>
      <c r="F108" s="23"/>
      <c r="G108" s="23"/>
      <c r="H108" s="23"/>
      <c r="I108" s="23"/>
    </row>
    <row r="109" customFormat="false" ht="15" hidden="false" customHeight="false" outlineLevel="0" collapsed="false">
      <c r="A109" s="23"/>
      <c r="B109" s="23"/>
      <c r="C109" s="23"/>
      <c r="D109" s="23"/>
      <c r="E109" s="23"/>
      <c r="F109" s="23"/>
      <c r="G109" s="23"/>
      <c r="H109" s="23"/>
      <c r="I109" s="23"/>
    </row>
    <row r="110" customFormat="false" ht="15" hidden="false" customHeight="false" outlineLevel="0" collapsed="false">
      <c r="A110" s="23"/>
      <c r="B110" s="23"/>
      <c r="C110" s="23"/>
      <c r="D110" s="23"/>
      <c r="E110" s="23"/>
      <c r="F110" s="23"/>
      <c r="G110" s="23"/>
      <c r="H110" s="23"/>
      <c r="I110" s="23"/>
    </row>
    <row r="111" customFormat="false" ht="15" hidden="false" customHeight="false" outlineLevel="0" collapsed="false">
      <c r="A111" s="23"/>
      <c r="B111" s="23"/>
      <c r="C111" s="23"/>
      <c r="D111" s="23"/>
      <c r="E111" s="23"/>
      <c r="F111" s="23"/>
      <c r="G111" s="23"/>
      <c r="H111" s="23"/>
      <c r="I111" s="23"/>
    </row>
    <row r="112" customFormat="false" ht="15" hidden="false" customHeight="false" outlineLevel="0" collapsed="false">
      <c r="A112" s="23"/>
      <c r="B112" s="23"/>
      <c r="C112" s="23"/>
      <c r="D112" s="23"/>
      <c r="E112" s="23"/>
      <c r="F112" s="23"/>
      <c r="G112" s="23"/>
      <c r="H112" s="23"/>
      <c r="I112" s="23"/>
    </row>
    <row r="113" customFormat="false" ht="15" hidden="false" customHeight="false" outlineLevel="0" collapsed="false">
      <c r="A113" s="23"/>
      <c r="B113" s="23"/>
      <c r="C113" s="23"/>
      <c r="D113" s="23"/>
      <c r="E113" s="23"/>
      <c r="F113" s="23"/>
      <c r="G113" s="23"/>
      <c r="H113" s="23"/>
      <c r="I113" s="23"/>
    </row>
    <row r="114" customFormat="false" ht="15" hidden="false" customHeight="false" outlineLevel="0" collapsed="false">
      <c r="A114" s="23"/>
      <c r="B114" s="23"/>
      <c r="C114" s="23"/>
      <c r="D114" s="23"/>
      <c r="E114" s="23"/>
      <c r="F114" s="23"/>
      <c r="G114" s="23"/>
      <c r="H114" s="23"/>
      <c r="I114" s="23"/>
    </row>
    <row r="115" customFormat="false" ht="15" hidden="false" customHeight="false" outlineLevel="0" collapsed="false">
      <c r="A115" s="23"/>
      <c r="B115" s="23"/>
      <c r="C115" s="23"/>
      <c r="D115" s="23"/>
      <c r="E115" s="23"/>
      <c r="F115" s="23"/>
      <c r="G115" s="23"/>
      <c r="H115" s="23"/>
      <c r="I115" s="23"/>
    </row>
    <row r="116" customFormat="false" ht="15" hidden="false" customHeight="false" outlineLevel="0" collapsed="false">
      <c r="A116" s="23"/>
      <c r="B116" s="23"/>
      <c r="C116" s="23"/>
      <c r="D116" s="23"/>
      <c r="E116" s="23"/>
      <c r="F116" s="23"/>
      <c r="G116" s="23"/>
      <c r="H116" s="23"/>
      <c r="I116" s="23"/>
    </row>
    <row r="117" customFormat="false" ht="15" hidden="false" customHeight="false" outlineLevel="0" collapsed="false">
      <c r="A117" s="23"/>
      <c r="B117" s="23"/>
      <c r="C117" s="23"/>
      <c r="D117" s="23"/>
      <c r="E117" s="23"/>
      <c r="F117" s="23"/>
      <c r="G117" s="23"/>
      <c r="H117" s="23"/>
      <c r="I117" s="23"/>
    </row>
    <row r="118" customFormat="false" ht="15" hidden="false" customHeight="false" outlineLevel="0" collapsed="false">
      <c r="A118" s="23"/>
      <c r="B118" s="23"/>
      <c r="C118" s="23"/>
      <c r="D118" s="23"/>
      <c r="E118" s="23"/>
      <c r="F118" s="23"/>
      <c r="G118" s="23"/>
      <c r="H118" s="23"/>
      <c r="I118" s="23"/>
    </row>
    <row r="119" customFormat="false" ht="15" hidden="false" customHeight="false" outlineLevel="0" collapsed="false">
      <c r="A119" s="23"/>
      <c r="B119" s="23"/>
      <c r="C119" s="23"/>
      <c r="D119" s="23"/>
      <c r="E119" s="23"/>
      <c r="F119" s="23"/>
      <c r="G119" s="23"/>
      <c r="H119" s="23"/>
      <c r="I119" s="23"/>
    </row>
    <row r="120" customFormat="false" ht="15" hidden="false" customHeight="false" outlineLevel="0" collapsed="false">
      <c r="A120" s="23"/>
      <c r="B120" s="23"/>
      <c r="C120" s="23"/>
      <c r="D120" s="23"/>
      <c r="E120" s="23"/>
      <c r="F120" s="23"/>
      <c r="G120" s="23"/>
      <c r="H120" s="23"/>
      <c r="I120" s="23"/>
    </row>
    <row r="121" customFormat="false" ht="15" hidden="false" customHeight="false" outlineLevel="0" collapsed="false">
      <c r="A121" s="23"/>
      <c r="B121" s="23"/>
      <c r="C121" s="23"/>
      <c r="D121" s="23"/>
      <c r="E121" s="23"/>
      <c r="F121" s="23"/>
      <c r="G121" s="23"/>
      <c r="H121" s="23"/>
      <c r="I121" s="23"/>
    </row>
    <row r="122" customFormat="false" ht="15" hidden="false" customHeight="false" outlineLevel="0" collapsed="false">
      <c r="A122" s="23"/>
      <c r="B122" s="23"/>
      <c r="C122" s="23"/>
      <c r="D122" s="23"/>
      <c r="E122" s="23"/>
      <c r="F122" s="23"/>
      <c r="G122" s="23"/>
      <c r="H122" s="23"/>
      <c r="I122" s="23"/>
    </row>
    <row r="123" customFormat="false" ht="15" hidden="false" customHeight="false" outlineLevel="0" collapsed="false">
      <c r="A123" s="23"/>
      <c r="B123" s="23"/>
      <c r="C123" s="23"/>
      <c r="D123" s="23"/>
      <c r="E123" s="23"/>
      <c r="F123" s="23"/>
      <c r="G123" s="23"/>
      <c r="H123" s="23"/>
      <c r="I123" s="23"/>
    </row>
    <row r="124" customFormat="false" ht="15" hidden="false" customHeight="false" outlineLevel="0" collapsed="false">
      <c r="A124" s="23"/>
      <c r="B124" s="23"/>
      <c r="C124" s="23"/>
      <c r="D124" s="23"/>
      <c r="E124" s="23"/>
      <c r="F124" s="23"/>
      <c r="G124" s="23"/>
      <c r="H124" s="23"/>
      <c r="I124" s="23"/>
    </row>
    <row r="125" customFormat="false" ht="15" hidden="false" customHeight="false" outlineLevel="0" collapsed="false">
      <c r="A125" s="23"/>
      <c r="B125" s="23"/>
      <c r="C125" s="23"/>
      <c r="D125" s="23"/>
      <c r="E125" s="23"/>
      <c r="F125" s="23"/>
      <c r="G125" s="23"/>
      <c r="H125" s="23"/>
      <c r="I125" s="23"/>
    </row>
    <row r="126" customFormat="false" ht="15" hidden="false" customHeight="false" outlineLevel="0" collapsed="false">
      <c r="A126" s="23"/>
      <c r="B126" s="23"/>
      <c r="C126" s="23"/>
      <c r="D126" s="23"/>
      <c r="E126" s="23"/>
      <c r="F126" s="23"/>
      <c r="G126" s="23"/>
      <c r="H126" s="23"/>
      <c r="I126" s="23"/>
    </row>
    <row r="127" customFormat="false" ht="15" hidden="false" customHeight="false" outlineLevel="0" collapsed="false">
      <c r="A127" s="23"/>
      <c r="B127" s="23"/>
      <c r="C127" s="23"/>
      <c r="D127" s="23"/>
      <c r="E127" s="23"/>
      <c r="F127" s="23"/>
      <c r="G127" s="23"/>
      <c r="H127" s="23"/>
      <c r="I127" s="23"/>
    </row>
    <row r="128" customFormat="false" ht="15" hidden="false" customHeight="false" outlineLevel="0" collapsed="false">
      <c r="A128" s="23"/>
      <c r="B128" s="23"/>
      <c r="C128" s="23"/>
      <c r="D128" s="23"/>
      <c r="E128" s="23"/>
      <c r="F128" s="23"/>
      <c r="G128" s="23"/>
      <c r="H128" s="23"/>
      <c r="I128" s="23"/>
    </row>
    <row r="129" customFormat="false" ht="15" hidden="false" customHeight="false" outlineLevel="0" collapsed="false">
      <c r="A129" s="23"/>
      <c r="B129" s="23"/>
      <c r="C129" s="23"/>
      <c r="D129" s="23"/>
      <c r="E129" s="23"/>
      <c r="F129" s="23"/>
      <c r="G129" s="23"/>
      <c r="H129" s="23"/>
      <c r="I129" s="23"/>
    </row>
    <row r="130" customFormat="false" ht="15" hidden="false" customHeight="false" outlineLevel="0" collapsed="false">
      <c r="A130" s="23"/>
      <c r="B130" s="23"/>
      <c r="C130" s="23"/>
      <c r="D130" s="23"/>
      <c r="E130" s="23"/>
      <c r="F130" s="23"/>
      <c r="G130" s="23"/>
      <c r="H130" s="23"/>
      <c r="I130" s="23"/>
    </row>
    <row r="131" customFormat="false" ht="15" hidden="false" customHeight="false" outlineLevel="0" collapsed="false">
      <c r="A131" s="23"/>
      <c r="B131" s="23"/>
      <c r="C131" s="23"/>
      <c r="D131" s="23"/>
      <c r="E131" s="23"/>
      <c r="F131" s="23"/>
      <c r="G131" s="23"/>
      <c r="H131" s="23"/>
      <c r="I131" s="23"/>
    </row>
    <row r="132" customFormat="false" ht="15" hidden="false" customHeight="false" outlineLevel="0" collapsed="false">
      <c r="A132" s="23"/>
      <c r="B132" s="23"/>
      <c r="C132" s="23"/>
      <c r="D132" s="23"/>
      <c r="E132" s="23"/>
      <c r="F132" s="23"/>
      <c r="G132" s="23"/>
      <c r="H132" s="23"/>
      <c r="I132" s="23"/>
    </row>
    <row r="133" customFormat="false" ht="15" hidden="false" customHeight="false" outlineLevel="0" collapsed="false">
      <c r="A133" s="23"/>
      <c r="B133" s="23"/>
      <c r="C133" s="23"/>
      <c r="D133" s="23"/>
      <c r="E133" s="23"/>
      <c r="F133" s="23"/>
      <c r="G133" s="23"/>
      <c r="H133" s="23"/>
      <c r="I133" s="23"/>
    </row>
    <row r="134" customFormat="false" ht="15" hidden="false" customHeight="false" outlineLevel="0" collapsed="false">
      <c r="A134" s="23"/>
      <c r="B134" s="23"/>
      <c r="C134" s="23"/>
      <c r="D134" s="23"/>
      <c r="E134" s="23"/>
      <c r="F134" s="23"/>
      <c r="G134" s="23"/>
      <c r="H134" s="23"/>
      <c r="I134" s="23"/>
    </row>
    <row r="135" customFormat="false" ht="15" hidden="false" customHeight="false" outlineLevel="0" collapsed="false">
      <c r="A135" s="23"/>
      <c r="B135" s="23"/>
      <c r="C135" s="23"/>
      <c r="D135" s="23"/>
      <c r="E135" s="23"/>
      <c r="F135" s="23"/>
      <c r="G135" s="23"/>
      <c r="H135" s="23"/>
      <c r="I135" s="23"/>
    </row>
    <row r="136" customFormat="false" ht="15" hidden="false" customHeight="false" outlineLevel="0" collapsed="false">
      <c r="A136" s="23"/>
      <c r="B136" s="23"/>
      <c r="C136" s="23"/>
      <c r="D136" s="23"/>
      <c r="E136" s="23"/>
      <c r="F136" s="23"/>
      <c r="G136" s="23"/>
      <c r="H136" s="23"/>
      <c r="I136" s="23"/>
    </row>
    <row r="137" customFormat="false" ht="15" hidden="false" customHeight="false" outlineLevel="0" collapsed="false">
      <c r="A137" s="23"/>
      <c r="B137" s="23"/>
      <c r="C137" s="23"/>
      <c r="D137" s="23"/>
      <c r="E137" s="23"/>
      <c r="F137" s="23"/>
      <c r="G137" s="23"/>
      <c r="H137" s="23"/>
      <c r="I137" s="23"/>
    </row>
    <row r="138" customFormat="false" ht="15" hidden="false" customHeight="false" outlineLevel="0" collapsed="false">
      <c r="A138" s="23"/>
      <c r="B138" s="23"/>
      <c r="C138" s="23"/>
      <c r="D138" s="23"/>
      <c r="E138" s="23"/>
      <c r="F138" s="23"/>
      <c r="G138" s="23"/>
      <c r="H138" s="23"/>
      <c r="I138" s="23"/>
    </row>
    <row r="139" customFormat="false" ht="15" hidden="false" customHeight="false" outlineLevel="0" collapsed="false">
      <c r="A139" s="23"/>
      <c r="B139" s="23"/>
      <c r="C139" s="23"/>
      <c r="D139" s="23"/>
      <c r="E139" s="23"/>
      <c r="F139" s="23"/>
      <c r="G139" s="23"/>
      <c r="H139" s="23"/>
      <c r="I139" s="23"/>
    </row>
    <row r="140" customFormat="false" ht="15" hidden="false" customHeight="false" outlineLevel="0" collapsed="false">
      <c r="A140" s="23"/>
      <c r="B140" s="23"/>
      <c r="C140" s="23"/>
      <c r="D140" s="23"/>
      <c r="E140" s="23"/>
      <c r="F140" s="23"/>
      <c r="G140" s="23"/>
      <c r="H140" s="23"/>
      <c r="I140" s="23"/>
    </row>
    <row r="141" customFormat="false" ht="15" hidden="false" customHeight="false" outlineLevel="0" collapsed="false">
      <c r="A141" s="23"/>
      <c r="B141" s="23"/>
      <c r="C141" s="23"/>
      <c r="D141" s="23"/>
      <c r="E141" s="23"/>
      <c r="F141" s="23"/>
      <c r="G141" s="23"/>
      <c r="H141" s="23"/>
      <c r="I141" s="23"/>
    </row>
    <row r="142" customFormat="false" ht="15" hidden="false" customHeight="false" outlineLevel="0" collapsed="false">
      <c r="A142" s="23"/>
      <c r="B142" s="23"/>
      <c r="C142" s="23"/>
      <c r="D142" s="23"/>
      <c r="E142" s="23"/>
      <c r="F142" s="23"/>
      <c r="G142" s="23"/>
      <c r="H142" s="23"/>
      <c r="I142" s="23"/>
    </row>
    <row r="143" customFormat="false" ht="15" hidden="false" customHeight="false" outlineLevel="0" collapsed="false">
      <c r="A143" s="23"/>
      <c r="B143" s="23"/>
      <c r="C143" s="23"/>
      <c r="D143" s="23"/>
      <c r="E143" s="23"/>
      <c r="F143" s="23"/>
      <c r="G143" s="23"/>
      <c r="H143" s="23"/>
      <c r="I143" s="23"/>
    </row>
    <row r="144" customFormat="false" ht="15" hidden="false" customHeight="false" outlineLevel="0" collapsed="false">
      <c r="A144" s="23"/>
      <c r="B144" s="23"/>
      <c r="C144" s="23"/>
      <c r="D144" s="23"/>
      <c r="E144" s="23"/>
      <c r="F144" s="23"/>
      <c r="G144" s="23"/>
      <c r="H144" s="23"/>
      <c r="I144" s="23"/>
    </row>
    <row r="145" customFormat="false" ht="15" hidden="false" customHeight="false" outlineLevel="0" collapsed="false">
      <c r="A145" s="23"/>
      <c r="B145" s="23"/>
      <c r="C145" s="23"/>
      <c r="D145" s="23"/>
      <c r="E145" s="23"/>
      <c r="F145" s="23"/>
      <c r="G145" s="23"/>
      <c r="H145" s="23"/>
      <c r="I145" s="23"/>
    </row>
    <row r="146" customFormat="false" ht="15" hidden="false" customHeight="false" outlineLevel="0" collapsed="false">
      <c r="A146" s="23"/>
      <c r="B146" s="23"/>
      <c r="C146" s="23"/>
      <c r="D146" s="23"/>
      <c r="E146" s="23"/>
      <c r="F146" s="23"/>
      <c r="G146" s="23"/>
      <c r="H146" s="23"/>
      <c r="I146" s="23"/>
    </row>
    <row r="147" customFormat="false" ht="15" hidden="false" customHeight="false" outlineLevel="0" collapsed="false">
      <c r="A147" s="23"/>
      <c r="B147" s="23"/>
      <c r="C147" s="23"/>
      <c r="D147" s="23"/>
      <c r="E147" s="23"/>
      <c r="F147" s="23"/>
      <c r="G147" s="23"/>
      <c r="H147" s="23"/>
      <c r="I147" s="23"/>
    </row>
    <row r="148" customFormat="false" ht="15" hidden="false" customHeight="false" outlineLevel="0" collapsed="false">
      <c r="A148" s="23"/>
      <c r="B148" s="23"/>
      <c r="C148" s="23"/>
      <c r="D148" s="23"/>
      <c r="E148" s="23"/>
      <c r="F148" s="23"/>
      <c r="G148" s="23"/>
      <c r="H148" s="23"/>
      <c r="I148" s="23"/>
    </row>
    <row r="149" customFormat="false" ht="15" hidden="false" customHeight="false" outlineLevel="0" collapsed="false">
      <c r="A149" s="23"/>
      <c r="B149" s="23"/>
      <c r="C149" s="23"/>
      <c r="D149" s="23"/>
      <c r="E149" s="23"/>
      <c r="F149" s="23"/>
      <c r="G149" s="23"/>
      <c r="H149" s="23"/>
      <c r="I149" s="23"/>
    </row>
    <row r="150" customFormat="false" ht="15" hidden="false" customHeight="false" outlineLevel="0" collapsed="false">
      <c r="A150" s="23"/>
      <c r="B150" s="23"/>
      <c r="C150" s="23"/>
      <c r="D150" s="23"/>
      <c r="E150" s="23"/>
      <c r="F150" s="23"/>
      <c r="G150" s="23"/>
      <c r="H150" s="23"/>
      <c r="I150" s="23"/>
    </row>
    <row r="151" customFormat="false" ht="15" hidden="false" customHeight="false" outlineLevel="0" collapsed="false">
      <c r="A151" s="23"/>
      <c r="B151" s="23"/>
      <c r="C151" s="23"/>
      <c r="D151" s="23"/>
      <c r="E151" s="23"/>
      <c r="F151" s="23"/>
      <c r="G151" s="23"/>
      <c r="H151" s="23"/>
      <c r="I151" s="23"/>
    </row>
    <row r="152" customFormat="false" ht="15" hidden="false" customHeight="false" outlineLevel="0" collapsed="false">
      <c r="A152" s="23"/>
      <c r="B152" s="23"/>
      <c r="C152" s="23"/>
      <c r="D152" s="23"/>
      <c r="E152" s="23"/>
      <c r="F152" s="23"/>
      <c r="G152" s="23"/>
      <c r="H152" s="23"/>
      <c r="I152" s="23"/>
    </row>
    <row r="153" customFormat="false" ht="15" hidden="false" customHeight="false" outlineLevel="0" collapsed="false">
      <c r="A153" s="23"/>
      <c r="B153" s="23"/>
      <c r="C153" s="23"/>
      <c r="D153" s="23"/>
      <c r="E153" s="23"/>
      <c r="F153" s="23"/>
      <c r="G153" s="23"/>
      <c r="H153" s="23"/>
      <c r="I153" s="23"/>
    </row>
    <row r="154" customFormat="false" ht="15" hidden="false" customHeight="false" outlineLevel="0" collapsed="false">
      <c r="A154" s="23"/>
      <c r="B154" s="23"/>
      <c r="C154" s="23"/>
      <c r="D154" s="23"/>
      <c r="E154" s="23"/>
      <c r="F154" s="23"/>
      <c r="G154" s="23"/>
      <c r="H154" s="23"/>
      <c r="I154" s="23"/>
    </row>
    <row r="155" customFormat="false" ht="15" hidden="false" customHeight="false" outlineLevel="0" collapsed="false">
      <c r="A155" s="23"/>
      <c r="B155" s="23"/>
      <c r="C155" s="23"/>
      <c r="D155" s="23"/>
      <c r="E155" s="23"/>
      <c r="F155" s="23"/>
      <c r="G155" s="23"/>
      <c r="H155" s="23"/>
      <c r="I155" s="23"/>
    </row>
    <row r="156" customFormat="false" ht="15" hidden="false" customHeight="false" outlineLevel="0" collapsed="false">
      <c r="A156" s="23"/>
      <c r="B156" s="23"/>
      <c r="C156" s="23"/>
      <c r="D156" s="23"/>
      <c r="E156" s="23"/>
      <c r="F156" s="23"/>
      <c r="G156" s="23"/>
      <c r="H156" s="23"/>
      <c r="I156" s="23"/>
    </row>
    <row r="157" customFormat="false" ht="15" hidden="false" customHeight="false" outlineLevel="0" collapsed="false">
      <c r="A157" s="23"/>
      <c r="B157" s="23"/>
      <c r="C157" s="23"/>
      <c r="D157" s="23"/>
      <c r="E157" s="23"/>
      <c r="F157" s="23"/>
      <c r="G157" s="23"/>
      <c r="H157" s="23"/>
      <c r="I157" s="23"/>
    </row>
    <row r="158" customFormat="false" ht="15" hidden="false" customHeight="false" outlineLevel="0" collapsed="false">
      <c r="A158" s="23"/>
      <c r="B158" s="23"/>
      <c r="C158" s="23"/>
      <c r="D158" s="23"/>
      <c r="E158" s="23"/>
      <c r="F158" s="23"/>
      <c r="G158" s="23"/>
      <c r="H158" s="23"/>
      <c r="I158" s="23"/>
    </row>
    <row r="159" customFormat="false" ht="15" hidden="false" customHeight="false" outlineLevel="0" collapsed="false">
      <c r="A159" s="23"/>
      <c r="B159" s="23"/>
      <c r="C159" s="23"/>
      <c r="D159" s="23"/>
      <c r="E159" s="23"/>
      <c r="F159" s="23"/>
      <c r="G159" s="23"/>
      <c r="H159" s="23"/>
      <c r="I159" s="23"/>
    </row>
    <row r="160" customFormat="false" ht="15" hidden="false" customHeight="false" outlineLevel="0" collapsed="false">
      <c r="A160" s="23"/>
      <c r="B160" s="23"/>
      <c r="C160" s="23"/>
      <c r="D160" s="23"/>
      <c r="E160" s="23"/>
      <c r="F160" s="23"/>
      <c r="G160" s="23"/>
      <c r="H160" s="23"/>
      <c r="I160" s="23"/>
    </row>
    <row r="161" customFormat="false" ht="15" hidden="false" customHeight="false" outlineLevel="0" collapsed="false">
      <c r="A161" s="23"/>
      <c r="B161" s="23"/>
      <c r="C161" s="23"/>
      <c r="D161" s="23"/>
      <c r="E161" s="23"/>
      <c r="F161" s="23"/>
      <c r="G161" s="23"/>
      <c r="H161" s="23"/>
      <c r="I161" s="23"/>
    </row>
    <row r="162" customFormat="false" ht="15" hidden="false" customHeight="false" outlineLevel="0" collapsed="false">
      <c r="A162" s="23"/>
      <c r="B162" s="23"/>
      <c r="C162" s="23"/>
      <c r="D162" s="23"/>
      <c r="E162" s="23"/>
      <c r="F162" s="23"/>
      <c r="G162" s="23"/>
      <c r="H162" s="23"/>
      <c r="I162" s="23"/>
    </row>
    <row r="163" customFormat="false" ht="15" hidden="false" customHeight="false" outlineLevel="0" collapsed="false">
      <c r="A163" s="23"/>
      <c r="B163" s="23"/>
      <c r="C163" s="23"/>
      <c r="D163" s="23"/>
      <c r="E163" s="23"/>
      <c r="F163" s="23"/>
      <c r="G163" s="23"/>
      <c r="H163" s="23"/>
      <c r="I163" s="23"/>
    </row>
    <row r="164" customFormat="false" ht="15" hidden="false" customHeight="false" outlineLevel="0" collapsed="false">
      <c r="A164" s="23"/>
      <c r="B164" s="23"/>
      <c r="C164" s="23"/>
      <c r="D164" s="23"/>
      <c r="E164" s="23"/>
      <c r="F164" s="23"/>
      <c r="G164" s="23"/>
      <c r="H164" s="23"/>
      <c r="I164" s="23"/>
    </row>
    <row r="165" customFormat="false" ht="15" hidden="false" customHeight="false" outlineLevel="0" collapsed="false">
      <c r="A165" s="23"/>
      <c r="B165" s="23"/>
      <c r="C165" s="23"/>
      <c r="D165" s="23"/>
      <c r="E165" s="23"/>
      <c r="F165" s="23"/>
      <c r="G165" s="23"/>
      <c r="H165" s="23"/>
      <c r="I165" s="23"/>
    </row>
    <row r="166" customFormat="false" ht="15" hidden="false" customHeight="false" outlineLevel="0" collapsed="false">
      <c r="A166" s="23"/>
      <c r="B166" s="23"/>
      <c r="C166" s="23"/>
      <c r="D166" s="23"/>
      <c r="E166" s="23"/>
      <c r="F166" s="23"/>
      <c r="G166" s="23"/>
      <c r="H166" s="23"/>
      <c r="I166" s="23"/>
    </row>
    <row r="167" customFormat="false" ht="15" hidden="false" customHeight="false" outlineLevel="0" collapsed="false">
      <c r="A167" s="23"/>
      <c r="B167" s="23"/>
      <c r="C167" s="23"/>
      <c r="D167" s="23"/>
      <c r="E167" s="23"/>
      <c r="F167" s="23"/>
      <c r="G167" s="23"/>
      <c r="H167" s="23"/>
      <c r="I167" s="23"/>
    </row>
    <row r="168" customFormat="false" ht="15" hidden="false" customHeight="false" outlineLevel="0" collapsed="false">
      <c r="A168" s="23"/>
      <c r="B168" s="23"/>
      <c r="C168" s="23"/>
      <c r="D168" s="23"/>
      <c r="E168" s="23"/>
      <c r="F168" s="23"/>
      <c r="G168" s="23"/>
      <c r="H168" s="23"/>
      <c r="I168" s="23"/>
    </row>
    <row r="169" customFormat="false" ht="15" hidden="false" customHeight="false" outlineLevel="0" collapsed="false">
      <c r="A169" s="23"/>
      <c r="B169" s="23"/>
      <c r="C169" s="23"/>
      <c r="D169" s="23"/>
      <c r="E169" s="23"/>
      <c r="F169" s="23"/>
      <c r="G169" s="23"/>
      <c r="H169" s="23"/>
      <c r="I169" s="23"/>
    </row>
    <row r="170" customFormat="false" ht="15" hidden="false" customHeight="false" outlineLevel="0" collapsed="false">
      <c r="A170" s="23"/>
      <c r="B170" s="23"/>
      <c r="C170" s="23"/>
      <c r="D170" s="23"/>
      <c r="E170" s="23"/>
      <c r="F170" s="23"/>
      <c r="G170" s="23"/>
      <c r="H170" s="23"/>
      <c r="I170" s="23"/>
    </row>
    <row r="171" customFormat="false" ht="15" hidden="false" customHeight="false" outlineLevel="0" collapsed="false">
      <c r="A171" s="23"/>
      <c r="B171" s="23"/>
      <c r="C171" s="23"/>
      <c r="D171" s="23"/>
      <c r="E171" s="23"/>
      <c r="F171" s="23"/>
      <c r="G171" s="23"/>
      <c r="H171" s="23"/>
      <c r="I171" s="23"/>
    </row>
    <row r="172" customFormat="false" ht="15" hidden="false" customHeight="false" outlineLevel="0" collapsed="false">
      <c r="A172" s="23"/>
      <c r="B172" s="23"/>
      <c r="C172" s="23"/>
      <c r="D172" s="23"/>
      <c r="E172" s="23"/>
      <c r="F172" s="23"/>
      <c r="G172" s="23"/>
      <c r="H172" s="23"/>
      <c r="I172" s="23"/>
    </row>
    <row r="173" customFormat="false" ht="15" hidden="false" customHeight="false" outlineLevel="0" collapsed="false">
      <c r="A173" s="23"/>
      <c r="B173" s="23"/>
      <c r="C173" s="23"/>
      <c r="D173" s="23"/>
      <c r="E173" s="23"/>
      <c r="F173" s="23"/>
      <c r="G173" s="23"/>
      <c r="H173" s="23"/>
      <c r="I173" s="23"/>
    </row>
    <row r="174" customFormat="false" ht="15" hidden="false" customHeight="false" outlineLevel="0" collapsed="false">
      <c r="A174" s="23"/>
      <c r="B174" s="23"/>
      <c r="C174" s="23"/>
      <c r="D174" s="23"/>
      <c r="E174" s="23"/>
      <c r="F174" s="23"/>
      <c r="G174" s="23"/>
      <c r="H174" s="23"/>
      <c r="I174" s="23"/>
    </row>
    <row r="175" customFormat="false" ht="15" hidden="false" customHeight="false" outlineLevel="0" collapsed="false">
      <c r="A175" s="23"/>
      <c r="B175" s="23"/>
      <c r="C175" s="23"/>
      <c r="D175" s="23"/>
      <c r="E175" s="23"/>
      <c r="F175" s="23"/>
      <c r="G175" s="23"/>
      <c r="H175" s="23"/>
      <c r="I175" s="23"/>
    </row>
    <row r="176" customFormat="false" ht="15" hidden="false" customHeight="false" outlineLevel="0" collapsed="false">
      <c r="A176" s="23"/>
      <c r="B176" s="23"/>
      <c r="C176" s="23"/>
      <c r="D176" s="23"/>
      <c r="E176" s="23"/>
      <c r="F176" s="23"/>
      <c r="G176" s="23"/>
      <c r="H176" s="23"/>
      <c r="I176" s="23"/>
    </row>
    <row r="177" customFormat="false" ht="15" hidden="false" customHeight="false" outlineLevel="0" collapsed="false">
      <c r="A177" s="23"/>
      <c r="B177" s="23"/>
      <c r="C177" s="23"/>
      <c r="D177" s="23"/>
      <c r="E177" s="23"/>
      <c r="F177" s="23"/>
      <c r="G177" s="23"/>
      <c r="H177" s="23"/>
      <c r="I177" s="23"/>
    </row>
    <row r="178" customFormat="false" ht="15" hidden="false" customHeight="false" outlineLevel="0" collapsed="false">
      <c r="A178" s="23"/>
      <c r="B178" s="23"/>
      <c r="C178" s="23"/>
      <c r="D178" s="23"/>
      <c r="E178" s="23"/>
      <c r="F178" s="23"/>
      <c r="G178" s="23"/>
      <c r="H178" s="23"/>
      <c r="I178" s="23"/>
    </row>
    <row r="179" customFormat="false" ht="15" hidden="false" customHeight="false" outlineLevel="0" collapsed="false">
      <c r="A179" s="23"/>
      <c r="B179" s="23"/>
      <c r="C179" s="23"/>
      <c r="D179" s="23"/>
      <c r="E179" s="23"/>
      <c r="F179" s="23"/>
      <c r="G179" s="23"/>
      <c r="H179" s="23"/>
      <c r="I179" s="23"/>
    </row>
    <row r="180" customFormat="false" ht="15" hidden="false" customHeight="false" outlineLevel="0" collapsed="false">
      <c r="A180" s="23"/>
      <c r="B180" s="23"/>
      <c r="C180" s="23"/>
      <c r="D180" s="23"/>
      <c r="E180" s="23"/>
      <c r="F180" s="23"/>
      <c r="G180" s="23"/>
      <c r="H180" s="23"/>
      <c r="I180" s="23"/>
    </row>
    <row r="181" customFormat="false" ht="15" hidden="false" customHeight="false" outlineLevel="0" collapsed="false">
      <c r="A181" s="23"/>
      <c r="B181" s="23"/>
      <c r="C181" s="23"/>
      <c r="D181" s="23"/>
      <c r="E181" s="23"/>
      <c r="F181" s="23"/>
      <c r="G181" s="23"/>
      <c r="H181" s="23"/>
      <c r="I181" s="23"/>
    </row>
    <row r="182" customFormat="false" ht="15" hidden="false" customHeight="false" outlineLevel="0" collapsed="false">
      <c r="A182" s="23"/>
      <c r="B182" s="23"/>
      <c r="C182" s="23"/>
      <c r="D182" s="23"/>
      <c r="E182" s="23"/>
      <c r="F182" s="23"/>
      <c r="G182" s="23"/>
      <c r="H182" s="23"/>
      <c r="I182" s="23"/>
    </row>
    <row r="183" customFormat="false" ht="15" hidden="false" customHeight="false" outlineLevel="0" collapsed="false">
      <c r="A183" s="23"/>
      <c r="B183" s="23"/>
      <c r="C183" s="23"/>
      <c r="D183" s="23"/>
      <c r="E183" s="23"/>
      <c r="F183" s="23"/>
      <c r="G183" s="23"/>
      <c r="H183" s="23"/>
      <c r="I183" s="23"/>
    </row>
    <row r="184" customFormat="false" ht="15" hidden="false" customHeight="false" outlineLevel="0" collapsed="false">
      <c r="A184" s="23"/>
      <c r="B184" s="23"/>
      <c r="C184" s="23"/>
      <c r="D184" s="23"/>
      <c r="E184" s="23"/>
      <c r="F184" s="23"/>
      <c r="G184" s="23"/>
      <c r="H184" s="23"/>
      <c r="I184" s="23"/>
    </row>
    <row r="185" customFormat="false" ht="15" hidden="false" customHeight="false" outlineLevel="0" collapsed="false">
      <c r="A185" s="23"/>
      <c r="B185" s="23"/>
      <c r="C185" s="23"/>
      <c r="D185" s="23"/>
      <c r="E185" s="23"/>
      <c r="F185" s="23"/>
      <c r="G185" s="23"/>
      <c r="H185" s="23"/>
      <c r="I185" s="23"/>
    </row>
    <row r="186" customFormat="false" ht="15" hidden="false" customHeight="false" outlineLevel="0" collapsed="false">
      <c r="A186" s="23"/>
      <c r="B186" s="23"/>
      <c r="C186" s="23"/>
      <c r="D186" s="23"/>
      <c r="E186" s="23"/>
      <c r="F186" s="23"/>
      <c r="G186" s="23"/>
      <c r="H186" s="23"/>
      <c r="I186" s="23"/>
    </row>
    <row r="187" customFormat="false" ht="15" hidden="false" customHeight="false" outlineLevel="0" collapsed="false">
      <c r="A187" s="23"/>
      <c r="B187" s="23"/>
      <c r="C187" s="23"/>
      <c r="D187" s="23"/>
      <c r="E187" s="23"/>
      <c r="F187" s="23"/>
      <c r="G187" s="23"/>
      <c r="H187" s="23"/>
      <c r="I187" s="23"/>
    </row>
    <row r="188" customFormat="false" ht="15" hidden="false" customHeight="false" outlineLevel="0" collapsed="false">
      <c r="A188" s="23"/>
      <c r="B188" s="23"/>
      <c r="C188" s="23"/>
      <c r="D188" s="23"/>
      <c r="E188" s="23"/>
      <c r="F188" s="23"/>
      <c r="G188" s="23"/>
      <c r="H188" s="23"/>
      <c r="I188" s="23"/>
    </row>
    <row r="189" customFormat="false" ht="15" hidden="false" customHeight="false" outlineLevel="0" collapsed="false">
      <c r="A189" s="23"/>
      <c r="B189" s="23"/>
      <c r="C189" s="23"/>
      <c r="D189" s="23"/>
      <c r="E189" s="23"/>
      <c r="F189" s="23"/>
      <c r="G189" s="23"/>
      <c r="H189" s="23"/>
      <c r="I189" s="23"/>
    </row>
    <row r="190" customFormat="false" ht="15" hidden="false" customHeight="false" outlineLevel="0" collapsed="false">
      <c r="A190" s="23"/>
      <c r="B190" s="23"/>
      <c r="C190" s="23"/>
      <c r="D190" s="23"/>
      <c r="E190" s="23"/>
      <c r="F190" s="23"/>
      <c r="G190" s="23"/>
      <c r="H190" s="23"/>
      <c r="I190" s="23"/>
    </row>
    <row r="191" customFormat="false" ht="15" hidden="false" customHeight="false" outlineLevel="0" collapsed="false">
      <c r="A191" s="23"/>
      <c r="B191" s="23"/>
      <c r="C191" s="23"/>
      <c r="D191" s="23"/>
      <c r="E191" s="23"/>
      <c r="F191" s="23"/>
      <c r="G191" s="23"/>
      <c r="H191" s="23"/>
      <c r="I191" s="23"/>
    </row>
    <row r="192" customFormat="false" ht="15" hidden="false" customHeight="false" outlineLevel="0" collapsed="false">
      <c r="A192" s="23"/>
      <c r="B192" s="23"/>
      <c r="C192" s="23"/>
      <c r="D192" s="23"/>
      <c r="E192" s="23"/>
      <c r="F192" s="23"/>
      <c r="G192" s="23"/>
      <c r="H192" s="23"/>
      <c r="I192" s="23"/>
    </row>
    <row r="193" customFormat="false" ht="15" hidden="false" customHeight="false" outlineLevel="0" collapsed="false">
      <c r="A193" s="23"/>
      <c r="B193" s="23"/>
      <c r="C193" s="23"/>
      <c r="D193" s="23"/>
      <c r="E193" s="23"/>
      <c r="F193" s="23"/>
      <c r="G193" s="23"/>
      <c r="H193" s="23"/>
      <c r="I193" s="23"/>
    </row>
    <row r="194" customFormat="false" ht="15" hidden="false" customHeight="false" outlineLevel="0" collapsed="false">
      <c r="A194" s="23"/>
      <c r="B194" s="23"/>
      <c r="C194" s="23"/>
      <c r="D194" s="23"/>
      <c r="E194" s="23"/>
      <c r="F194" s="23"/>
      <c r="G194" s="23"/>
      <c r="H194" s="23"/>
      <c r="I194" s="23"/>
    </row>
    <row r="195" customFormat="false" ht="15" hidden="false" customHeight="false" outlineLevel="0" collapsed="false">
      <c r="A195" s="23"/>
      <c r="B195" s="23"/>
      <c r="C195" s="23"/>
      <c r="D195" s="23"/>
      <c r="E195" s="23"/>
      <c r="F195" s="23"/>
      <c r="G195" s="23"/>
      <c r="H195" s="23"/>
      <c r="I195" s="23"/>
    </row>
    <row r="196" customFormat="false" ht="15" hidden="false" customHeight="false" outlineLevel="0" collapsed="false">
      <c r="A196" s="23"/>
      <c r="B196" s="23"/>
      <c r="C196" s="23"/>
      <c r="D196" s="23"/>
      <c r="E196" s="23"/>
      <c r="F196" s="23"/>
      <c r="G196" s="23"/>
      <c r="H196" s="23"/>
      <c r="I196" s="23"/>
    </row>
    <row r="197" customFormat="false" ht="15" hidden="false" customHeight="false" outlineLevel="0" collapsed="false">
      <c r="A197" s="23"/>
      <c r="B197" s="23"/>
      <c r="C197" s="23"/>
      <c r="D197" s="23"/>
      <c r="E197" s="23"/>
      <c r="F197" s="23"/>
      <c r="G197" s="23"/>
      <c r="H197" s="23"/>
      <c r="I197" s="23"/>
    </row>
    <row r="198" customFormat="false" ht="15" hidden="false" customHeight="false" outlineLevel="0" collapsed="false">
      <c r="A198" s="23"/>
      <c r="B198" s="23"/>
      <c r="C198" s="23"/>
      <c r="D198" s="23"/>
      <c r="E198" s="23"/>
      <c r="F198" s="23"/>
      <c r="G198" s="23"/>
      <c r="H198" s="23"/>
      <c r="I198" s="23"/>
    </row>
    <row r="199" customFormat="false" ht="15" hidden="false" customHeight="false" outlineLevel="0" collapsed="false">
      <c r="A199" s="23"/>
      <c r="B199" s="23"/>
      <c r="C199" s="23"/>
      <c r="D199" s="23"/>
      <c r="E199" s="23"/>
      <c r="F199" s="23"/>
      <c r="G199" s="23"/>
      <c r="H199" s="23"/>
      <c r="I199" s="23"/>
    </row>
    <row r="200" customFormat="false" ht="15" hidden="false" customHeight="false" outlineLevel="0" collapsed="false">
      <c r="A200" s="23"/>
      <c r="B200" s="23"/>
      <c r="C200" s="23"/>
      <c r="D200" s="23"/>
      <c r="E200" s="23"/>
      <c r="F200" s="23"/>
      <c r="G200" s="23"/>
      <c r="H200" s="23"/>
      <c r="I200" s="23"/>
    </row>
    <row r="201" customFormat="false" ht="15" hidden="false" customHeight="false" outlineLevel="0" collapsed="false">
      <c r="A201" s="23"/>
      <c r="B201" s="23"/>
      <c r="C201" s="23"/>
      <c r="D201" s="23"/>
      <c r="E201" s="23"/>
      <c r="F201" s="23"/>
      <c r="G201" s="23"/>
      <c r="H201" s="23"/>
      <c r="I201" s="23"/>
    </row>
    <row r="202" customFormat="false" ht="15" hidden="false" customHeight="false" outlineLevel="0" collapsed="false">
      <c r="A202" s="23"/>
      <c r="B202" s="23"/>
      <c r="C202" s="23"/>
      <c r="D202" s="23"/>
      <c r="E202" s="23"/>
      <c r="F202" s="23"/>
      <c r="G202" s="23"/>
      <c r="H202" s="23"/>
      <c r="I202" s="23"/>
    </row>
    <row r="203" customFormat="false" ht="15" hidden="false" customHeight="false" outlineLevel="0" collapsed="false">
      <c r="A203" s="23"/>
      <c r="B203" s="23"/>
      <c r="C203" s="23"/>
      <c r="D203" s="23"/>
      <c r="E203" s="23"/>
      <c r="F203" s="23"/>
      <c r="G203" s="23"/>
      <c r="H203" s="23"/>
      <c r="I203" s="23"/>
    </row>
    <row r="204" customFormat="false" ht="15" hidden="false" customHeight="false" outlineLevel="0" collapsed="false">
      <c r="A204" s="23"/>
      <c r="B204" s="23"/>
      <c r="C204" s="23"/>
      <c r="D204" s="23"/>
      <c r="E204" s="23"/>
      <c r="F204" s="23"/>
      <c r="G204" s="23"/>
      <c r="H204" s="23"/>
      <c r="I204" s="23"/>
    </row>
    <row r="205" customFormat="false" ht="15" hidden="false" customHeight="false" outlineLevel="0" collapsed="false">
      <c r="A205" s="23"/>
      <c r="B205" s="23"/>
      <c r="C205" s="23"/>
      <c r="D205" s="23"/>
      <c r="E205" s="23"/>
      <c r="F205" s="23"/>
      <c r="G205" s="23"/>
      <c r="H205" s="23"/>
      <c r="I205" s="23"/>
    </row>
    <row r="206" customFormat="false" ht="15" hidden="false" customHeight="false" outlineLevel="0" collapsed="false">
      <c r="A206" s="23"/>
      <c r="B206" s="23"/>
      <c r="C206" s="23"/>
      <c r="D206" s="23"/>
      <c r="E206" s="23"/>
      <c r="F206" s="23"/>
      <c r="G206" s="23"/>
      <c r="H206" s="23"/>
      <c r="I206" s="23"/>
    </row>
    <row r="207" customFormat="false" ht="15" hidden="false" customHeight="false" outlineLevel="0" collapsed="false">
      <c r="A207" s="23"/>
      <c r="B207" s="23"/>
      <c r="C207" s="23"/>
      <c r="D207" s="23"/>
      <c r="E207" s="23"/>
      <c r="F207" s="23"/>
      <c r="G207" s="23"/>
      <c r="H207" s="23"/>
      <c r="I207" s="23"/>
    </row>
    <row r="208" customFormat="false" ht="15" hidden="false" customHeight="false" outlineLevel="0" collapsed="false">
      <c r="A208" s="23"/>
      <c r="B208" s="23"/>
      <c r="C208" s="23"/>
      <c r="D208" s="23"/>
      <c r="E208" s="23"/>
      <c r="F208" s="23"/>
      <c r="G208" s="23"/>
      <c r="H208" s="23"/>
      <c r="I208" s="23"/>
    </row>
    <row r="209" customFormat="false" ht="15" hidden="false" customHeight="false" outlineLevel="0" collapsed="false">
      <c r="A209" s="23"/>
      <c r="B209" s="23"/>
      <c r="C209" s="23"/>
      <c r="D209" s="23"/>
      <c r="E209" s="23"/>
      <c r="F209" s="23"/>
      <c r="G209" s="23"/>
      <c r="H209" s="23"/>
      <c r="I209" s="23"/>
    </row>
    <row r="210" customFormat="false" ht="15" hidden="false" customHeight="false" outlineLevel="0" collapsed="false">
      <c r="A210" s="23"/>
      <c r="B210" s="23"/>
      <c r="C210" s="23"/>
      <c r="D210" s="23"/>
      <c r="E210" s="23"/>
      <c r="F210" s="23"/>
      <c r="G210" s="23"/>
      <c r="H210" s="23"/>
      <c r="I210" s="23"/>
    </row>
    <row r="211" customFormat="false" ht="15" hidden="false" customHeight="false" outlineLevel="0" collapsed="false">
      <c r="A211" s="23"/>
      <c r="B211" s="23"/>
      <c r="C211" s="23"/>
      <c r="D211" s="23"/>
      <c r="E211" s="23"/>
      <c r="F211" s="23"/>
      <c r="G211" s="23"/>
      <c r="H211" s="23"/>
      <c r="I211" s="23"/>
    </row>
    <row r="212" customFormat="false" ht="15" hidden="false" customHeight="false" outlineLevel="0" collapsed="false">
      <c r="A212" s="23"/>
      <c r="B212" s="23"/>
      <c r="C212" s="23"/>
      <c r="D212" s="23"/>
      <c r="E212" s="23"/>
      <c r="F212" s="23"/>
      <c r="G212" s="23"/>
      <c r="H212" s="23"/>
      <c r="I212" s="23"/>
    </row>
    <row r="213" customFormat="false" ht="15" hidden="false" customHeight="false" outlineLevel="0" collapsed="false">
      <c r="A213" s="23"/>
      <c r="B213" s="23"/>
      <c r="C213" s="23"/>
      <c r="D213" s="23"/>
      <c r="E213" s="23"/>
      <c r="F213" s="23"/>
      <c r="G213" s="23"/>
      <c r="H213" s="23"/>
      <c r="I213" s="23"/>
    </row>
    <row r="214" customFormat="false" ht="15" hidden="false" customHeight="false" outlineLevel="0" collapsed="false">
      <c r="A214" s="23"/>
      <c r="B214" s="23"/>
      <c r="C214" s="23"/>
      <c r="D214" s="23"/>
      <c r="E214" s="23"/>
      <c r="F214" s="23"/>
      <c r="G214" s="23"/>
      <c r="H214" s="23"/>
      <c r="I214" s="23"/>
    </row>
    <row r="215" customFormat="false" ht="15" hidden="false" customHeight="false" outlineLevel="0" collapsed="false">
      <c r="A215" s="23"/>
      <c r="B215" s="23"/>
      <c r="C215" s="23"/>
      <c r="D215" s="23"/>
      <c r="E215" s="23"/>
      <c r="F215" s="23"/>
      <c r="G215" s="23"/>
      <c r="H215" s="23"/>
      <c r="I215" s="23"/>
    </row>
    <row r="216" customFormat="false" ht="15" hidden="false" customHeight="false" outlineLevel="0" collapsed="false">
      <c r="A216" s="23"/>
      <c r="B216" s="23"/>
      <c r="C216" s="23"/>
      <c r="D216" s="23"/>
      <c r="E216" s="23"/>
      <c r="F216" s="23"/>
      <c r="G216" s="23"/>
      <c r="H216" s="23"/>
      <c r="I216" s="23"/>
    </row>
    <row r="217" customFormat="false" ht="15" hidden="false" customHeight="false" outlineLevel="0" collapsed="false">
      <c r="A217" s="23"/>
      <c r="B217" s="23"/>
      <c r="C217" s="23"/>
      <c r="D217" s="23"/>
      <c r="E217" s="23"/>
      <c r="F217" s="23"/>
      <c r="G217" s="23"/>
      <c r="H217" s="23"/>
      <c r="I217" s="23"/>
    </row>
    <row r="218" customFormat="false" ht="15" hidden="false" customHeight="false" outlineLevel="0" collapsed="false">
      <c r="A218" s="23"/>
      <c r="B218" s="23"/>
      <c r="C218" s="23"/>
      <c r="D218" s="23"/>
      <c r="E218" s="23"/>
      <c r="F218" s="23"/>
      <c r="G218" s="23"/>
      <c r="H218" s="23"/>
      <c r="I218" s="23"/>
    </row>
    <row r="219" customFormat="false" ht="15" hidden="false" customHeight="false" outlineLevel="0" collapsed="false">
      <c r="A219" s="23"/>
      <c r="B219" s="23"/>
      <c r="C219" s="23"/>
      <c r="D219" s="23"/>
      <c r="E219" s="23"/>
      <c r="F219" s="23"/>
      <c r="G219" s="23"/>
      <c r="H219" s="23"/>
      <c r="I219" s="23"/>
    </row>
    <row r="220" customFormat="false" ht="15" hidden="false" customHeight="false" outlineLevel="0" collapsed="false">
      <c r="A220" s="23"/>
      <c r="B220" s="23"/>
      <c r="C220" s="23"/>
      <c r="D220" s="23"/>
      <c r="E220" s="23"/>
      <c r="F220" s="23"/>
      <c r="G220" s="23"/>
      <c r="H220" s="23"/>
      <c r="I220" s="23"/>
    </row>
    <row r="221" customFormat="false" ht="15" hidden="false" customHeight="false" outlineLevel="0" collapsed="false">
      <c r="A221" s="23"/>
      <c r="B221" s="23"/>
      <c r="C221" s="23"/>
      <c r="D221" s="23"/>
      <c r="E221" s="23"/>
      <c r="F221" s="23"/>
      <c r="G221" s="23"/>
      <c r="H221" s="23"/>
      <c r="I221" s="23"/>
    </row>
    <row r="222" customFormat="false" ht="15" hidden="false" customHeight="false" outlineLevel="0" collapsed="false">
      <c r="A222" s="23"/>
      <c r="B222" s="23"/>
      <c r="C222" s="23"/>
      <c r="D222" s="23"/>
      <c r="E222" s="23"/>
      <c r="F222" s="23"/>
      <c r="G222" s="23"/>
      <c r="H222" s="23"/>
      <c r="I222" s="23"/>
    </row>
    <row r="223" customFormat="false" ht="15" hidden="false" customHeight="false" outlineLevel="0" collapsed="false">
      <c r="A223" s="23"/>
      <c r="B223" s="23"/>
      <c r="C223" s="23"/>
      <c r="D223" s="23"/>
      <c r="E223" s="23"/>
      <c r="F223" s="23"/>
      <c r="G223" s="23"/>
      <c r="H223" s="23"/>
      <c r="I223" s="23"/>
    </row>
    <row r="224" customFormat="false" ht="15" hidden="false" customHeight="false" outlineLevel="0" collapsed="false">
      <c r="A224" s="23"/>
      <c r="B224" s="23"/>
      <c r="C224" s="23"/>
      <c r="D224" s="23"/>
      <c r="E224" s="23"/>
      <c r="F224" s="23"/>
      <c r="G224" s="23"/>
      <c r="H224" s="23"/>
      <c r="I224" s="23"/>
    </row>
    <row r="225" customFormat="false" ht="15" hidden="false" customHeight="false" outlineLevel="0" collapsed="false">
      <c r="A225" s="23"/>
      <c r="B225" s="23"/>
      <c r="C225" s="23"/>
      <c r="D225" s="23"/>
      <c r="E225" s="23"/>
      <c r="F225" s="23"/>
      <c r="G225" s="23"/>
      <c r="H225" s="23"/>
      <c r="I225" s="23"/>
    </row>
    <row r="226" customFormat="false" ht="15" hidden="false" customHeight="false" outlineLevel="0" collapsed="false">
      <c r="A226" s="23"/>
      <c r="B226" s="23"/>
      <c r="C226" s="23"/>
      <c r="D226" s="23"/>
      <c r="E226" s="23"/>
      <c r="F226" s="23"/>
      <c r="G226" s="23"/>
      <c r="H226" s="23"/>
      <c r="I226" s="23"/>
    </row>
    <row r="227" customFormat="false" ht="15" hidden="false" customHeight="false" outlineLevel="0" collapsed="false">
      <c r="A227" s="23"/>
      <c r="B227" s="23"/>
      <c r="C227" s="23"/>
      <c r="D227" s="23"/>
      <c r="E227" s="23"/>
      <c r="F227" s="23"/>
      <c r="G227" s="23"/>
      <c r="H227" s="23"/>
      <c r="I227" s="23"/>
    </row>
    <row r="228" customFormat="false" ht="15" hidden="false" customHeight="false" outlineLevel="0" collapsed="false">
      <c r="A228" s="23"/>
      <c r="B228" s="23"/>
      <c r="C228" s="23"/>
      <c r="D228" s="23"/>
      <c r="E228" s="23"/>
      <c r="F228" s="23"/>
      <c r="G228" s="23"/>
      <c r="H228" s="23"/>
      <c r="I228" s="23"/>
    </row>
    <row r="229" customFormat="false" ht="15" hidden="false" customHeight="false" outlineLevel="0" collapsed="false">
      <c r="A229" s="23"/>
      <c r="B229" s="23"/>
      <c r="C229" s="23"/>
      <c r="D229" s="23"/>
      <c r="E229" s="23"/>
      <c r="F229" s="23"/>
      <c r="G229" s="23"/>
      <c r="H229" s="23"/>
      <c r="I229" s="23"/>
    </row>
    <row r="230" customFormat="false" ht="15" hidden="false" customHeight="false" outlineLevel="0" collapsed="false">
      <c r="A230" s="23"/>
      <c r="B230" s="23"/>
      <c r="C230" s="23"/>
      <c r="D230" s="23"/>
      <c r="E230" s="23"/>
      <c r="F230" s="23"/>
      <c r="G230" s="23"/>
      <c r="H230" s="23"/>
      <c r="I230" s="23"/>
    </row>
    <row r="231" customFormat="false" ht="15" hidden="false" customHeight="false" outlineLevel="0" collapsed="false">
      <c r="A231" s="23"/>
      <c r="B231" s="23"/>
      <c r="C231" s="23"/>
      <c r="D231" s="23"/>
      <c r="E231" s="23"/>
      <c r="F231" s="23"/>
      <c r="G231" s="23"/>
      <c r="H231" s="23"/>
      <c r="I231" s="23"/>
    </row>
    <row r="232" customFormat="false" ht="15" hidden="false" customHeight="false" outlineLevel="0" collapsed="false">
      <c r="A232" s="23"/>
      <c r="B232" s="23"/>
      <c r="C232" s="23"/>
      <c r="D232" s="23"/>
      <c r="E232" s="23"/>
      <c r="F232" s="23"/>
      <c r="G232" s="23"/>
      <c r="H232" s="23"/>
      <c r="I232" s="23"/>
    </row>
    <row r="233" customFormat="false" ht="15" hidden="false" customHeight="false" outlineLevel="0" collapsed="false">
      <c r="A233" s="23"/>
      <c r="B233" s="23"/>
      <c r="C233" s="23"/>
      <c r="D233" s="23"/>
      <c r="E233" s="23"/>
      <c r="F233" s="23"/>
      <c r="G233" s="23"/>
      <c r="H233" s="23"/>
      <c r="I233" s="23"/>
    </row>
    <row r="234" customFormat="false" ht="15" hidden="false" customHeight="false" outlineLevel="0" collapsed="false">
      <c r="A234" s="23"/>
      <c r="B234" s="23"/>
      <c r="C234" s="23"/>
      <c r="D234" s="23"/>
      <c r="E234" s="23"/>
      <c r="F234" s="23"/>
      <c r="G234" s="23"/>
      <c r="H234" s="23"/>
      <c r="I234" s="23"/>
    </row>
    <row r="235" customFormat="false" ht="15" hidden="false" customHeight="false" outlineLevel="0" collapsed="false">
      <c r="A235" s="23"/>
      <c r="B235" s="23"/>
      <c r="C235" s="23"/>
      <c r="D235" s="23"/>
      <c r="E235" s="23"/>
      <c r="F235" s="23"/>
      <c r="G235" s="23"/>
      <c r="H235" s="23"/>
      <c r="I235" s="23"/>
    </row>
    <row r="236" customFormat="false" ht="15" hidden="false" customHeight="false" outlineLevel="0" collapsed="false">
      <c r="A236" s="23"/>
      <c r="B236" s="23"/>
      <c r="C236" s="23"/>
      <c r="D236" s="23"/>
      <c r="E236" s="23"/>
      <c r="F236" s="23"/>
      <c r="G236" s="23"/>
      <c r="H236" s="23"/>
      <c r="I236" s="23"/>
    </row>
    <row r="237" customFormat="false" ht="15" hidden="false" customHeight="false" outlineLevel="0" collapsed="false">
      <c r="A237" s="23"/>
      <c r="B237" s="23"/>
      <c r="C237" s="23"/>
      <c r="D237" s="23"/>
      <c r="E237" s="23"/>
      <c r="F237" s="23"/>
      <c r="G237" s="23"/>
      <c r="H237" s="23"/>
      <c r="I237" s="23"/>
    </row>
    <row r="238" customFormat="false" ht="15" hidden="false" customHeight="false" outlineLevel="0" collapsed="false">
      <c r="A238" s="23"/>
      <c r="B238" s="23"/>
      <c r="C238" s="23"/>
      <c r="D238" s="23"/>
      <c r="E238" s="23"/>
      <c r="F238" s="23"/>
      <c r="G238" s="23"/>
      <c r="H238" s="23"/>
      <c r="I238" s="23"/>
    </row>
    <row r="239" customFormat="false" ht="15" hidden="false" customHeight="false" outlineLevel="0" collapsed="false">
      <c r="A239" s="23"/>
      <c r="B239" s="23"/>
      <c r="C239" s="23"/>
      <c r="D239" s="23"/>
      <c r="E239" s="23"/>
      <c r="F239" s="23"/>
      <c r="G239" s="23"/>
      <c r="H239" s="23"/>
      <c r="I239" s="23"/>
    </row>
    <row r="240" customFormat="false" ht="15" hidden="false" customHeight="false" outlineLevel="0" collapsed="false">
      <c r="A240" s="23"/>
      <c r="B240" s="23"/>
      <c r="C240" s="23"/>
      <c r="D240" s="23"/>
      <c r="E240" s="23"/>
      <c r="F240" s="23"/>
      <c r="G240" s="23"/>
      <c r="H240" s="23"/>
      <c r="I240" s="23"/>
    </row>
    <row r="241" customFormat="false" ht="15" hidden="false" customHeight="false" outlineLevel="0" collapsed="false">
      <c r="A241" s="23"/>
      <c r="B241" s="23"/>
      <c r="C241" s="23"/>
      <c r="D241" s="23"/>
      <c r="E241" s="23"/>
      <c r="F241" s="23"/>
      <c r="G241" s="23"/>
      <c r="H241" s="23"/>
      <c r="I241" s="23"/>
    </row>
    <row r="242" customFormat="false" ht="15" hidden="false" customHeight="false" outlineLevel="0" collapsed="false">
      <c r="A242" s="23"/>
      <c r="B242" s="23"/>
      <c r="C242" s="23"/>
      <c r="D242" s="23"/>
      <c r="E242" s="23"/>
      <c r="F242" s="23"/>
      <c r="G242" s="23"/>
      <c r="H242" s="23"/>
      <c r="I242" s="23"/>
    </row>
    <row r="243" customFormat="false" ht="15" hidden="false" customHeight="false" outlineLevel="0" collapsed="false">
      <c r="A243" s="23"/>
      <c r="B243" s="23"/>
      <c r="C243" s="23"/>
      <c r="D243" s="23"/>
      <c r="E243" s="23"/>
      <c r="F243" s="23"/>
      <c r="G243" s="23"/>
      <c r="H243" s="23"/>
      <c r="I243" s="23"/>
    </row>
    <row r="244" customFormat="false" ht="15" hidden="false" customHeight="false" outlineLevel="0" collapsed="false">
      <c r="A244" s="23"/>
      <c r="B244" s="23"/>
      <c r="C244" s="23"/>
      <c r="D244" s="23"/>
      <c r="E244" s="23"/>
      <c r="F244" s="23"/>
      <c r="G244" s="23"/>
      <c r="H244" s="23"/>
      <c r="I244" s="23"/>
    </row>
    <row r="245" customFormat="false" ht="15" hidden="false" customHeight="false" outlineLevel="0" collapsed="false">
      <c r="A245" s="23"/>
      <c r="B245" s="23"/>
      <c r="C245" s="23"/>
      <c r="D245" s="23"/>
      <c r="E245" s="23"/>
      <c r="F245" s="23"/>
      <c r="G245" s="23"/>
      <c r="H245" s="23"/>
      <c r="I245" s="23"/>
    </row>
    <row r="246" customFormat="false" ht="15" hidden="false" customHeight="false" outlineLevel="0" collapsed="false">
      <c r="A246" s="23"/>
      <c r="B246" s="23"/>
      <c r="C246" s="23"/>
      <c r="D246" s="23"/>
      <c r="E246" s="23"/>
      <c r="F246" s="23"/>
      <c r="G246" s="23"/>
      <c r="H246" s="23"/>
      <c r="I246" s="23"/>
    </row>
    <row r="247" customFormat="false" ht="15" hidden="false" customHeight="false" outlineLevel="0" collapsed="false">
      <c r="A247" s="23"/>
      <c r="B247" s="23"/>
      <c r="C247" s="23"/>
      <c r="D247" s="23"/>
      <c r="E247" s="23"/>
      <c r="F247" s="23"/>
      <c r="G247" s="23"/>
      <c r="H247" s="23"/>
      <c r="I247" s="23"/>
    </row>
    <row r="248" customFormat="false" ht="15" hidden="false" customHeight="false" outlineLevel="0" collapsed="false">
      <c r="A248" s="23"/>
      <c r="B248" s="23"/>
      <c r="C248" s="23"/>
      <c r="D248" s="23"/>
      <c r="E248" s="23"/>
      <c r="F248" s="23"/>
      <c r="G248" s="23"/>
      <c r="H248" s="23"/>
      <c r="I248" s="23"/>
    </row>
    <row r="249" customFormat="false" ht="15" hidden="false" customHeight="false" outlineLevel="0" collapsed="false">
      <c r="A249" s="23"/>
      <c r="B249" s="23"/>
      <c r="C249" s="23"/>
      <c r="D249" s="23"/>
      <c r="E249" s="23"/>
      <c r="F249" s="23"/>
      <c r="G249" s="23"/>
      <c r="H249" s="23"/>
      <c r="I249" s="23"/>
    </row>
    <row r="250" customFormat="false" ht="15" hidden="false" customHeight="false" outlineLevel="0" collapsed="false">
      <c r="A250" s="23"/>
      <c r="B250" s="23"/>
      <c r="C250" s="23"/>
      <c r="D250" s="23"/>
      <c r="E250" s="23"/>
      <c r="F250" s="23"/>
      <c r="G250" s="23"/>
      <c r="H250" s="23"/>
      <c r="I250" s="23"/>
    </row>
    <row r="251" customFormat="false" ht="15" hidden="false" customHeight="false" outlineLevel="0" collapsed="false">
      <c r="A251" s="23"/>
      <c r="B251" s="23"/>
      <c r="C251" s="23"/>
      <c r="D251" s="23"/>
      <c r="E251" s="23"/>
      <c r="F251" s="23"/>
      <c r="G251" s="23"/>
      <c r="H251" s="23"/>
      <c r="I251" s="23"/>
    </row>
    <row r="252" customFormat="false" ht="15" hidden="false" customHeight="false" outlineLevel="0" collapsed="false">
      <c r="A252" s="23"/>
      <c r="B252" s="23"/>
      <c r="C252" s="23"/>
      <c r="D252" s="23"/>
      <c r="E252" s="23"/>
      <c r="F252" s="23"/>
      <c r="G252" s="23"/>
      <c r="H252" s="23"/>
      <c r="I252" s="23"/>
    </row>
    <row r="253" customFormat="false" ht="15" hidden="false" customHeight="false" outlineLevel="0" collapsed="false">
      <c r="A253" s="23"/>
      <c r="B253" s="23"/>
      <c r="C253" s="23"/>
      <c r="D253" s="23"/>
      <c r="E253" s="23"/>
      <c r="F253" s="23"/>
      <c r="G253" s="23"/>
      <c r="H253" s="23"/>
      <c r="I253" s="23"/>
    </row>
    <row r="254" customFormat="false" ht="15" hidden="false" customHeight="false" outlineLevel="0" collapsed="false">
      <c r="A254" s="23"/>
      <c r="B254" s="23"/>
      <c r="C254" s="23"/>
      <c r="D254" s="23"/>
      <c r="E254" s="23"/>
      <c r="F254" s="23"/>
      <c r="G254" s="23"/>
      <c r="H254" s="23"/>
      <c r="I254" s="23"/>
    </row>
    <row r="255" customFormat="false" ht="15" hidden="false" customHeight="false" outlineLevel="0" collapsed="false">
      <c r="A255" s="23"/>
      <c r="B255" s="23"/>
      <c r="C255" s="23"/>
      <c r="D255" s="23"/>
      <c r="E255" s="23"/>
      <c r="F255" s="23"/>
      <c r="G255" s="23"/>
      <c r="H255" s="23"/>
      <c r="I255" s="23"/>
    </row>
    <row r="256" customFormat="false" ht="15" hidden="false" customHeight="false" outlineLevel="0" collapsed="false">
      <c r="A256" s="23"/>
      <c r="B256" s="23"/>
      <c r="C256" s="23"/>
      <c r="D256" s="23"/>
      <c r="E256" s="23"/>
      <c r="F256" s="23"/>
      <c r="G256" s="23"/>
      <c r="H256" s="23"/>
      <c r="I256" s="23"/>
    </row>
    <row r="257" customFormat="false" ht="15" hidden="false" customHeight="false" outlineLevel="0" collapsed="false">
      <c r="A257" s="23"/>
      <c r="B257" s="23"/>
      <c r="C257" s="23"/>
      <c r="D257" s="23"/>
      <c r="E257" s="23"/>
      <c r="F257" s="23"/>
      <c r="G257" s="23"/>
      <c r="H257" s="23"/>
      <c r="I257" s="23"/>
    </row>
    <row r="258" customFormat="false" ht="15" hidden="false" customHeight="false" outlineLevel="0" collapsed="false">
      <c r="A258" s="23"/>
      <c r="B258" s="23"/>
      <c r="C258" s="23"/>
      <c r="D258" s="23"/>
      <c r="E258" s="23"/>
      <c r="F258" s="23"/>
      <c r="G258" s="23"/>
      <c r="H258" s="23"/>
      <c r="I258" s="23"/>
    </row>
    <row r="259" customFormat="false" ht="15" hidden="false" customHeight="false" outlineLevel="0" collapsed="false">
      <c r="A259" s="23"/>
      <c r="B259" s="23"/>
      <c r="C259" s="23"/>
      <c r="D259" s="23"/>
      <c r="E259" s="23"/>
      <c r="F259" s="23"/>
      <c r="G259" s="23"/>
      <c r="H259" s="23"/>
      <c r="I259" s="23"/>
    </row>
    <row r="260" customFormat="false" ht="15" hidden="false" customHeight="false" outlineLevel="0" collapsed="false">
      <c r="A260" s="23"/>
      <c r="B260" s="23"/>
      <c r="C260" s="23"/>
      <c r="D260" s="23"/>
      <c r="E260" s="23"/>
      <c r="F260" s="23"/>
      <c r="G260" s="23"/>
      <c r="H260" s="23"/>
      <c r="I260" s="23"/>
    </row>
    <row r="261" customFormat="false" ht="15" hidden="false" customHeight="false" outlineLevel="0" collapsed="false">
      <c r="A261" s="23"/>
      <c r="B261" s="23"/>
      <c r="C261" s="23"/>
      <c r="D261" s="23"/>
      <c r="E261" s="23"/>
      <c r="F261" s="23"/>
      <c r="G261" s="23"/>
      <c r="H261" s="23"/>
      <c r="I261" s="23"/>
    </row>
    <row r="262" customFormat="false" ht="15" hidden="false" customHeight="false" outlineLevel="0" collapsed="false">
      <c r="A262" s="23"/>
      <c r="B262" s="23"/>
      <c r="C262" s="23"/>
      <c r="D262" s="23"/>
      <c r="E262" s="23"/>
      <c r="F262" s="23"/>
      <c r="G262" s="23"/>
      <c r="H262" s="23"/>
      <c r="I262" s="23"/>
    </row>
    <row r="263" customFormat="false" ht="15" hidden="false" customHeight="false" outlineLevel="0" collapsed="false">
      <c r="A263" s="23"/>
      <c r="B263" s="23"/>
      <c r="C263" s="23"/>
      <c r="D263" s="23"/>
      <c r="E263" s="23"/>
      <c r="F263" s="23"/>
      <c r="G263" s="23"/>
      <c r="H263" s="23"/>
      <c r="I263" s="23"/>
    </row>
    <row r="264" customFormat="false" ht="15" hidden="false" customHeight="false" outlineLevel="0" collapsed="false">
      <c r="A264" s="23"/>
      <c r="B264" s="23"/>
      <c r="C264" s="23"/>
      <c r="D264" s="23"/>
      <c r="E264" s="23"/>
      <c r="F264" s="23"/>
      <c r="G264" s="23"/>
      <c r="H264" s="23"/>
      <c r="I264" s="23"/>
    </row>
    <row r="265" customFormat="false" ht="15" hidden="false" customHeight="false" outlineLevel="0" collapsed="false">
      <c r="A265" s="23"/>
      <c r="B265" s="23"/>
      <c r="C265" s="23"/>
      <c r="D265" s="23"/>
      <c r="E265" s="23"/>
      <c r="F265" s="23"/>
      <c r="G265" s="23"/>
      <c r="H265" s="23"/>
      <c r="I265" s="23"/>
    </row>
    <row r="266" customFormat="false" ht="15" hidden="false" customHeight="false" outlineLevel="0" collapsed="false">
      <c r="A266" s="23"/>
      <c r="B266" s="23"/>
      <c r="C266" s="23"/>
      <c r="D266" s="23"/>
      <c r="E266" s="23"/>
      <c r="F266" s="23"/>
      <c r="G266" s="23"/>
      <c r="H266" s="23"/>
      <c r="I266" s="23"/>
    </row>
    <row r="267" customFormat="false" ht="15" hidden="false" customHeight="false" outlineLevel="0" collapsed="false">
      <c r="A267" s="23"/>
      <c r="B267" s="23"/>
      <c r="C267" s="23"/>
      <c r="D267" s="23"/>
      <c r="E267" s="23"/>
      <c r="F267" s="23"/>
      <c r="G267" s="23"/>
      <c r="H267" s="23"/>
      <c r="I267" s="23"/>
    </row>
    <row r="268" customFormat="false" ht="15" hidden="false" customHeight="false" outlineLevel="0" collapsed="false">
      <c r="A268" s="23"/>
      <c r="B268" s="23"/>
      <c r="C268" s="23"/>
      <c r="D268" s="23"/>
      <c r="E268" s="23"/>
      <c r="F268" s="23"/>
      <c r="G268" s="23"/>
      <c r="H268" s="23"/>
      <c r="I268" s="23"/>
    </row>
    <row r="269" customFormat="false" ht="15" hidden="false" customHeight="false" outlineLevel="0" collapsed="false">
      <c r="A269" s="23"/>
      <c r="B269" s="23"/>
      <c r="C269" s="23"/>
      <c r="D269" s="23"/>
      <c r="E269" s="23"/>
      <c r="F269" s="23"/>
      <c r="G269" s="23"/>
      <c r="H269" s="23"/>
      <c r="I269" s="23"/>
    </row>
    <row r="270" customFormat="false" ht="15" hidden="false" customHeight="false" outlineLevel="0" collapsed="false">
      <c r="A270" s="23"/>
      <c r="B270" s="23"/>
      <c r="C270" s="23"/>
      <c r="D270" s="23"/>
      <c r="E270" s="23"/>
      <c r="F270" s="23"/>
      <c r="G270" s="23"/>
      <c r="H270" s="23"/>
      <c r="I270" s="23"/>
    </row>
    <row r="271" customFormat="false" ht="15" hidden="false" customHeight="false" outlineLevel="0" collapsed="false">
      <c r="A271" s="23"/>
      <c r="B271" s="23"/>
      <c r="C271" s="23"/>
      <c r="D271" s="23"/>
      <c r="E271" s="23"/>
      <c r="F271" s="23"/>
      <c r="G271" s="23"/>
      <c r="H271" s="23"/>
      <c r="I271" s="23"/>
    </row>
    <row r="272" customFormat="false" ht="15" hidden="false" customHeight="false" outlineLevel="0" collapsed="false">
      <c r="A272" s="23"/>
      <c r="B272" s="23"/>
      <c r="C272" s="23"/>
      <c r="D272" s="23"/>
      <c r="E272" s="23"/>
      <c r="F272" s="23"/>
      <c r="G272" s="23"/>
      <c r="H272" s="23"/>
      <c r="I272" s="23"/>
    </row>
    <row r="273" customFormat="false" ht="15" hidden="false" customHeight="false" outlineLevel="0" collapsed="false">
      <c r="A273" s="23"/>
      <c r="B273" s="23"/>
      <c r="C273" s="23"/>
      <c r="D273" s="23"/>
      <c r="E273" s="23"/>
      <c r="F273" s="23"/>
      <c r="G273" s="23"/>
      <c r="H273" s="23"/>
      <c r="I273" s="23"/>
    </row>
    <row r="274" customFormat="false" ht="15" hidden="false" customHeight="false" outlineLevel="0" collapsed="false">
      <c r="A274" s="23"/>
      <c r="B274" s="23"/>
      <c r="C274" s="23"/>
      <c r="D274" s="23"/>
      <c r="E274" s="23"/>
      <c r="F274" s="23"/>
      <c r="G274" s="23"/>
      <c r="H274" s="23"/>
      <c r="I274" s="23"/>
    </row>
    <row r="275" customFormat="false" ht="15" hidden="false" customHeight="false" outlineLevel="0" collapsed="false">
      <c r="A275" s="23"/>
      <c r="B275" s="23"/>
      <c r="C275" s="23"/>
      <c r="D275" s="23"/>
      <c r="E275" s="23"/>
      <c r="F275" s="23"/>
      <c r="G275" s="23"/>
      <c r="H275" s="23"/>
      <c r="I275" s="23"/>
    </row>
    <row r="276" customFormat="false" ht="15" hidden="false" customHeight="false" outlineLevel="0" collapsed="false">
      <c r="A276" s="23"/>
      <c r="B276" s="23"/>
      <c r="C276" s="23"/>
      <c r="D276" s="23"/>
      <c r="E276" s="23"/>
      <c r="F276" s="23"/>
      <c r="G276" s="23"/>
      <c r="H276" s="23"/>
      <c r="I276" s="23"/>
    </row>
    <row r="277" customFormat="false" ht="15" hidden="false" customHeight="false" outlineLevel="0" collapsed="false">
      <c r="A277" s="23"/>
      <c r="B277" s="23"/>
      <c r="C277" s="23"/>
      <c r="D277" s="23"/>
      <c r="E277" s="23"/>
      <c r="F277" s="23"/>
      <c r="G277" s="23"/>
      <c r="H277" s="23"/>
      <c r="I277" s="23"/>
    </row>
    <row r="278" customFormat="false" ht="15" hidden="false" customHeight="false" outlineLevel="0" collapsed="false">
      <c r="A278" s="23"/>
      <c r="B278" s="23"/>
      <c r="C278" s="23"/>
      <c r="D278" s="23"/>
      <c r="E278" s="23"/>
      <c r="F278" s="23"/>
      <c r="G278" s="23"/>
      <c r="H278" s="23"/>
      <c r="I278" s="23"/>
    </row>
    <row r="279" customFormat="false" ht="15" hidden="false" customHeight="false" outlineLevel="0" collapsed="false">
      <c r="A279" s="23"/>
      <c r="B279" s="23"/>
      <c r="C279" s="23"/>
      <c r="D279" s="23"/>
      <c r="E279" s="23"/>
      <c r="F279" s="23"/>
      <c r="G279" s="23"/>
      <c r="H279" s="23"/>
      <c r="I279" s="23"/>
    </row>
    <row r="280" customFormat="false" ht="15" hidden="false" customHeight="false" outlineLevel="0" collapsed="false">
      <c r="A280" s="23"/>
      <c r="B280" s="23"/>
      <c r="C280" s="23"/>
      <c r="D280" s="23"/>
      <c r="E280" s="23"/>
      <c r="F280" s="23"/>
      <c r="G280" s="23"/>
      <c r="H280" s="23"/>
      <c r="I280" s="23"/>
    </row>
    <row r="281" customFormat="false" ht="15" hidden="false" customHeight="false" outlineLevel="0" collapsed="false">
      <c r="A281" s="23"/>
      <c r="B281" s="23"/>
      <c r="C281" s="23"/>
      <c r="D281" s="23"/>
      <c r="E281" s="23"/>
      <c r="F281" s="23"/>
      <c r="G281" s="23"/>
      <c r="H281" s="23"/>
      <c r="I281" s="23"/>
    </row>
    <row r="282" customFormat="false" ht="15" hidden="false" customHeight="false" outlineLevel="0" collapsed="false">
      <c r="A282" s="23"/>
      <c r="B282" s="23"/>
      <c r="C282" s="23"/>
      <c r="D282" s="23"/>
      <c r="E282" s="23"/>
      <c r="F282" s="23"/>
      <c r="G282" s="23"/>
      <c r="H282" s="23"/>
      <c r="I282" s="23"/>
    </row>
    <row r="283" customFormat="false" ht="15" hidden="false" customHeight="false" outlineLevel="0" collapsed="false">
      <c r="A283" s="23"/>
      <c r="B283" s="23"/>
      <c r="C283" s="23"/>
      <c r="D283" s="23"/>
      <c r="E283" s="23"/>
      <c r="F283" s="23"/>
      <c r="G283" s="23"/>
      <c r="H283" s="23"/>
      <c r="I283" s="23"/>
    </row>
    <row r="284" customFormat="false" ht="15" hidden="false" customHeight="false" outlineLevel="0" collapsed="false">
      <c r="A284" s="23"/>
      <c r="B284" s="23"/>
      <c r="C284" s="23"/>
      <c r="D284" s="23"/>
      <c r="E284" s="23"/>
      <c r="F284" s="23"/>
      <c r="G284" s="23"/>
      <c r="H284" s="23"/>
      <c r="I284" s="23"/>
    </row>
    <row r="285" customFormat="false" ht="15" hidden="false" customHeight="false" outlineLevel="0" collapsed="false">
      <c r="A285" s="23"/>
      <c r="B285" s="23"/>
      <c r="C285" s="23"/>
      <c r="D285" s="23"/>
      <c r="E285" s="23"/>
      <c r="F285" s="23"/>
      <c r="G285" s="23"/>
      <c r="H285" s="23"/>
      <c r="I285" s="23"/>
    </row>
    <row r="286" customFormat="false" ht="15" hidden="false" customHeight="false" outlineLevel="0" collapsed="false">
      <c r="A286" s="23"/>
      <c r="B286" s="23"/>
      <c r="C286" s="23"/>
      <c r="D286" s="23"/>
      <c r="E286" s="23"/>
      <c r="F286" s="23"/>
      <c r="G286" s="23"/>
      <c r="H286" s="23"/>
      <c r="I286" s="23"/>
    </row>
    <row r="287" customFormat="false" ht="15" hidden="false" customHeight="false" outlineLevel="0" collapsed="false">
      <c r="A287" s="23"/>
      <c r="B287" s="23"/>
      <c r="C287" s="23"/>
      <c r="D287" s="23"/>
      <c r="E287" s="23"/>
      <c r="F287" s="23"/>
      <c r="G287" s="23"/>
      <c r="H287" s="23"/>
      <c r="I287" s="23"/>
    </row>
    <row r="288" customFormat="false" ht="15" hidden="false" customHeight="false" outlineLevel="0" collapsed="false">
      <c r="A288" s="23"/>
      <c r="B288" s="23"/>
      <c r="C288" s="23"/>
      <c r="D288" s="23"/>
      <c r="E288" s="23"/>
      <c r="F288" s="23"/>
      <c r="G288" s="23"/>
      <c r="H288" s="23"/>
      <c r="I288" s="23"/>
    </row>
    <row r="289" customFormat="false" ht="15" hidden="false" customHeight="false" outlineLevel="0" collapsed="false">
      <c r="A289" s="23"/>
      <c r="B289" s="23"/>
      <c r="C289" s="23"/>
      <c r="D289" s="23"/>
      <c r="E289" s="23"/>
      <c r="F289" s="23"/>
      <c r="G289" s="23"/>
      <c r="H289" s="23"/>
      <c r="I289" s="23"/>
    </row>
    <row r="290" customFormat="false" ht="15" hidden="false" customHeight="false" outlineLevel="0" collapsed="false">
      <c r="A290" s="23"/>
      <c r="B290" s="23"/>
      <c r="C290" s="23"/>
      <c r="D290" s="23"/>
      <c r="E290" s="23"/>
      <c r="F290" s="23"/>
      <c r="G290" s="23"/>
      <c r="H290" s="23"/>
      <c r="I290" s="23"/>
    </row>
    <row r="291" customFormat="false" ht="15" hidden="false" customHeight="false" outlineLevel="0" collapsed="false">
      <c r="A291" s="23"/>
      <c r="B291" s="23"/>
      <c r="C291" s="23"/>
      <c r="D291" s="23"/>
      <c r="E291" s="23"/>
      <c r="F291" s="23"/>
      <c r="G291" s="23"/>
      <c r="H291" s="23"/>
      <c r="I291" s="23"/>
    </row>
    <row r="292" customFormat="false" ht="15" hidden="false" customHeight="false" outlineLevel="0" collapsed="false">
      <c r="A292" s="23"/>
      <c r="B292" s="23"/>
      <c r="C292" s="23"/>
      <c r="D292" s="23"/>
      <c r="E292" s="23"/>
      <c r="F292" s="23"/>
      <c r="G292" s="23"/>
      <c r="H292" s="23"/>
      <c r="I292" s="23"/>
    </row>
    <row r="293" customFormat="false" ht="15" hidden="false" customHeight="false" outlineLevel="0" collapsed="false">
      <c r="A293" s="23"/>
      <c r="B293" s="23"/>
      <c r="C293" s="23"/>
      <c r="D293" s="23"/>
      <c r="E293" s="23"/>
      <c r="F293" s="23"/>
      <c r="G293" s="23"/>
      <c r="H293" s="23"/>
      <c r="I293" s="23"/>
    </row>
    <row r="294" customFormat="false" ht="15" hidden="false" customHeight="false" outlineLevel="0" collapsed="false">
      <c r="A294" s="23"/>
      <c r="B294" s="23"/>
      <c r="C294" s="23"/>
      <c r="D294" s="23"/>
      <c r="E294" s="23"/>
      <c r="F294" s="23"/>
      <c r="G294" s="23"/>
      <c r="H294" s="23"/>
      <c r="I294" s="23"/>
    </row>
    <row r="295" customFormat="false" ht="15" hidden="false" customHeight="false" outlineLevel="0" collapsed="false">
      <c r="A295" s="23"/>
      <c r="B295" s="23"/>
      <c r="C295" s="23"/>
      <c r="D295" s="23"/>
      <c r="E295" s="23"/>
      <c r="F295" s="23"/>
      <c r="G295" s="23"/>
      <c r="H295" s="23"/>
      <c r="I295" s="23"/>
    </row>
    <row r="296" customFormat="false" ht="15" hidden="false" customHeight="false" outlineLevel="0" collapsed="false">
      <c r="A296" s="23"/>
      <c r="B296" s="23"/>
      <c r="C296" s="23"/>
      <c r="D296" s="23"/>
      <c r="E296" s="23"/>
      <c r="F296" s="23"/>
      <c r="G296" s="23"/>
      <c r="H296" s="23"/>
      <c r="I296" s="23"/>
    </row>
    <row r="297" customFormat="false" ht="15" hidden="false" customHeight="false" outlineLevel="0" collapsed="false">
      <c r="A297" s="23"/>
      <c r="B297" s="23"/>
      <c r="C297" s="23"/>
      <c r="D297" s="23"/>
      <c r="E297" s="23"/>
      <c r="F297" s="23"/>
      <c r="G297" s="23"/>
      <c r="H297" s="23"/>
      <c r="I297" s="23"/>
    </row>
    <row r="298" customFormat="false" ht="15" hidden="false" customHeight="false" outlineLevel="0" collapsed="false">
      <c r="A298" s="23"/>
      <c r="B298" s="23"/>
      <c r="C298" s="23"/>
      <c r="D298" s="23"/>
      <c r="E298" s="23"/>
      <c r="F298" s="23"/>
      <c r="G298" s="23"/>
      <c r="H298" s="23"/>
      <c r="I298" s="23"/>
    </row>
    <row r="299" customFormat="false" ht="15" hidden="false" customHeight="false" outlineLevel="0" collapsed="false">
      <c r="A299" s="23"/>
      <c r="B299" s="23"/>
      <c r="C299" s="23"/>
      <c r="D299" s="23"/>
      <c r="E299" s="23"/>
      <c r="F299" s="23"/>
      <c r="G299" s="23"/>
      <c r="H299" s="23"/>
      <c r="I299" s="23"/>
    </row>
    <row r="300" customFormat="false" ht="15" hidden="false" customHeight="false" outlineLevel="0" collapsed="false">
      <c r="A300" s="23"/>
      <c r="B300" s="23"/>
      <c r="C300" s="23"/>
      <c r="D300" s="23"/>
      <c r="E300" s="23"/>
      <c r="F300" s="23"/>
      <c r="G300" s="23"/>
      <c r="H300" s="23"/>
      <c r="I300" s="23"/>
    </row>
    <row r="301" customFormat="false" ht="15" hidden="false" customHeight="false" outlineLevel="0" collapsed="false">
      <c r="A301" s="23"/>
      <c r="B301" s="23"/>
      <c r="C301" s="23"/>
      <c r="D301" s="23"/>
      <c r="E301" s="23"/>
      <c r="F301" s="23"/>
      <c r="G301" s="23"/>
      <c r="H301" s="23"/>
      <c r="I301" s="23"/>
    </row>
    <row r="302" customFormat="false" ht="15" hidden="false" customHeight="false" outlineLevel="0" collapsed="false">
      <c r="A302" s="23"/>
      <c r="B302" s="23"/>
      <c r="C302" s="23"/>
      <c r="D302" s="23"/>
      <c r="E302" s="23"/>
      <c r="F302" s="23"/>
      <c r="G302" s="23"/>
      <c r="H302" s="23"/>
      <c r="I302" s="23"/>
    </row>
    <row r="303" customFormat="false" ht="15" hidden="false" customHeight="false" outlineLevel="0" collapsed="false">
      <c r="A303" s="23"/>
      <c r="B303" s="23"/>
      <c r="C303" s="23"/>
      <c r="D303" s="23"/>
      <c r="E303" s="23"/>
      <c r="F303" s="23"/>
      <c r="G303" s="23"/>
      <c r="H303" s="23"/>
      <c r="I303" s="23"/>
    </row>
    <row r="304" customFormat="false" ht="15" hidden="false" customHeight="false" outlineLevel="0" collapsed="false">
      <c r="A304" s="23"/>
      <c r="B304" s="23"/>
      <c r="C304" s="23"/>
      <c r="D304" s="23"/>
      <c r="E304" s="23"/>
      <c r="F304" s="23"/>
      <c r="G304" s="23"/>
      <c r="H304" s="23"/>
      <c r="I304" s="23"/>
    </row>
    <row r="305" customFormat="false" ht="15" hidden="false" customHeight="false" outlineLevel="0" collapsed="false">
      <c r="A305" s="23"/>
      <c r="B305" s="23"/>
      <c r="C305" s="23"/>
      <c r="D305" s="23"/>
      <c r="E305" s="23"/>
      <c r="F305" s="23"/>
      <c r="G305" s="23"/>
      <c r="H305" s="23"/>
      <c r="I305" s="23"/>
    </row>
    <row r="306" customFormat="false" ht="15" hidden="false" customHeight="false" outlineLevel="0" collapsed="false">
      <c r="A306" s="23"/>
      <c r="B306" s="23"/>
      <c r="C306" s="23"/>
      <c r="D306" s="23"/>
      <c r="E306" s="23"/>
      <c r="F306" s="23"/>
      <c r="G306" s="23"/>
      <c r="H306" s="23"/>
      <c r="I306" s="23"/>
    </row>
    <row r="307" customFormat="false" ht="15" hidden="false" customHeight="false" outlineLevel="0" collapsed="false">
      <c r="A307" s="23"/>
      <c r="B307" s="23"/>
      <c r="C307" s="23"/>
      <c r="D307" s="23"/>
      <c r="E307" s="23"/>
      <c r="F307" s="23"/>
      <c r="G307" s="23"/>
      <c r="H307" s="23"/>
      <c r="I307" s="23"/>
    </row>
    <row r="308" customFormat="false" ht="15" hidden="false" customHeight="false" outlineLevel="0" collapsed="false">
      <c r="A308" s="23"/>
      <c r="B308" s="23"/>
      <c r="C308" s="23"/>
      <c r="D308" s="23"/>
      <c r="E308" s="23"/>
      <c r="F308" s="23"/>
      <c r="G308" s="23"/>
      <c r="H308" s="23"/>
      <c r="I308" s="23"/>
    </row>
    <row r="309" customFormat="false" ht="15" hidden="false" customHeight="false" outlineLevel="0" collapsed="false">
      <c r="A309" s="23"/>
      <c r="B309" s="23"/>
      <c r="C309" s="23"/>
      <c r="D309" s="23"/>
      <c r="E309" s="23"/>
      <c r="F309" s="23"/>
      <c r="G309" s="23"/>
      <c r="H309" s="23"/>
      <c r="I309" s="23"/>
    </row>
    <row r="310" customFormat="false" ht="15" hidden="false" customHeight="false" outlineLevel="0" collapsed="false">
      <c r="A310" s="23"/>
      <c r="B310" s="23"/>
      <c r="C310" s="23"/>
      <c r="D310" s="23"/>
      <c r="E310" s="23"/>
      <c r="F310" s="23"/>
      <c r="G310" s="23"/>
      <c r="H310" s="23"/>
      <c r="I310" s="23"/>
    </row>
    <row r="311" customFormat="false" ht="15" hidden="false" customHeight="false" outlineLevel="0" collapsed="false">
      <c r="A311" s="23"/>
      <c r="B311" s="23"/>
      <c r="C311" s="23"/>
      <c r="D311" s="23"/>
      <c r="E311" s="23"/>
      <c r="F311" s="23"/>
      <c r="G311" s="23"/>
      <c r="H311" s="23"/>
      <c r="I311" s="23"/>
    </row>
    <row r="312" customFormat="false" ht="15" hidden="false" customHeight="false" outlineLevel="0" collapsed="false">
      <c r="A312" s="23"/>
      <c r="B312" s="23"/>
      <c r="C312" s="23"/>
      <c r="D312" s="23"/>
      <c r="E312" s="23"/>
      <c r="F312" s="23"/>
      <c r="G312" s="23"/>
      <c r="H312" s="23"/>
      <c r="I312" s="23"/>
    </row>
    <row r="313" customFormat="false" ht="15" hidden="false" customHeight="false" outlineLevel="0" collapsed="false">
      <c r="A313" s="23"/>
      <c r="B313" s="23"/>
      <c r="C313" s="23"/>
      <c r="D313" s="23"/>
      <c r="E313" s="23"/>
      <c r="F313" s="23"/>
      <c r="G313" s="23"/>
      <c r="H313" s="23"/>
      <c r="I313" s="23"/>
    </row>
    <row r="314" customFormat="false" ht="15" hidden="false" customHeight="false" outlineLevel="0" collapsed="false">
      <c r="A314" s="23"/>
      <c r="B314" s="23"/>
      <c r="C314" s="23"/>
      <c r="D314" s="23"/>
      <c r="E314" s="23"/>
      <c r="F314" s="23"/>
      <c r="G314" s="23"/>
      <c r="H314" s="23"/>
      <c r="I314" s="23"/>
    </row>
    <row r="315" customFormat="false" ht="15" hidden="false" customHeight="false" outlineLevel="0" collapsed="false">
      <c r="A315" s="23"/>
      <c r="B315" s="23"/>
      <c r="C315" s="23"/>
      <c r="D315" s="23"/>
      <c r="E315" s="23"/>
      <c r="F315" s="23"/>
      <c r="G315" s="23"/>
      <c r="H315" s="23"/>
      <c r="I315" s="23"/>
    </row>
    <row r="316" customFormat="false" ht="15" hidden="false" customHeight="false" outlineLevel="0" collapsed="false">
      <c r="A316" s="23"/>
      <c r="B316" s="23"/>
      <c r="C316" s="23"/>
      <c r="D316" s="23"/>
      <c r="E316" s="23"/>
      <c r="F316" s="23"/>
      <c r="G316" s="23"/>
      <c r="H316" s="23"/>
      <c r="I316" s="23"/>
    </row>
    <row r="317" customFormat="false" ht="15" hidden="false" customHeight="false" outlineLevel="0" collapsed="false">
      <c r="A317" s="23"/>
      <c r="B317" s="23"/>
      <c r="C317" s="23"/>
      <c r="D317" s="23"/>
      <c r="E317" s="23"/>
      <c r="F317" s="23"/>
      <c r="G317" s="23"/>
      <c r="H317" s="23"/>
      <c r="I317" s="23"/>
    </row>
    <row r="318" customFormat="false" ht="15" hidden="false" customHeight="false" outlineLevel="0" collapsed="false">
      <c r="A318" s="23"/>
      <c r="B318" s="23"/>
      <c r="C318" s="23"/>
      <c r="D318" s="23"/>
      <c r="E318" s="23"/>
      <c r="F318" s="23"/>
      <c r="G318" s="23"/>
      <c r="H318" s="23"/>
      <c r="I318" s="23"/>
    </row>
    <row r="319" customFormat="false" ht="15" hidden="false" customHeight="false" outlineLevel="0" collapsed="false">
      <c r="A319" s="23"/>
      <c r="B319" s="23"/>
      <c r="C319" s="23"/>
      <c r="D319" s="23"/>
      <c r="E319" s="23"/>
      <c r="F319" s="23"/>
      <c r="G319" s="23"/>
      <c r="H319" s="23"/>
      <c r="I319" s="23"/>
    </row>
    <row r="320" customFormat="false" ht="15" hidden="false" customHeight="false" outlineLevel="0" collapsed="false">
      <c r="A320" s="23"/>
      <c r="B320" s="23"/>
      <c r="C320" s="23"/>
      <c r="D320" s="23"/>
      <c r="E320" s="23"/>
      <c r="F320" s="23"/>
      <c r="G320" s="23"/>
      <c r="H320" s="23"/>
      <c r="I320" s="23"/>
    </row>
    <row r="321" customFormat="false" ht="15" hidden="false" customHeight="false" outlineLevel="0" collapsed="false">
      <c r="A321" s="23"/>
      <c r="B321" s="23"/>
      <c r="C321" s="23"/>
      <c r="D321" s="23"/>
      <c r="E321" s="23"/>
      <c r="F321" s="23"/>
      <c r="G321" s="23"/>
      <c r="H321" s="23"/>
      <c r="I321" s="23"/>
    </row>
    <row r="322" customFormat="false" ht="15" hidden="false" customHeight="false" outlineLevel="0" collapsed="false">
      <c r="A322" s="23"/>
      <c r="B322" s="23"/>
      <c r="C322" s="23"/>
      <c r="D322" s="23"/>
      <c r="E322" s="23"/>
      <c r="F322" s="23"/>
      <c r="G322" s="23"/>
      <c r="H322" s="23"/>
      <c r="I322" s="23"/>
    </row>
    <row r="323" customFormat="false" ht="15" hidden="false" customHeight="false" outlineLevel="0" collapsed="false">
      <c r="A323" s="23"/>
      <c r="B323" s="23"/>
      <c r="C323" s="23"/>
      <c r="D323" s="23"/>
      <c r="E323" s="23"/>
      <c r="F323" s="23"/>
      <c r="G323" s="23"/>
      <c r="H323" s="23"/>
      <c r="I323" s="23"/>
    </row>
    <row r="324" customFormat="false" ht="15" hidden="false" customHeight="false" outlineLevel="0" collapsed="false">
      <c r="A324" s="23"/>
      <c r="B324" s="23"/>
      <c r="C324" s="23"/>
      <c r="D324" s="23"/>
      <c r="E324" s="23"/>
      <c r="F324" s="23"/>
      <c r="G324" s="23"/>
      <c r="H324" s="23"/>
      <c r="I324" s="23"/>
    </row>
    <row r="325" customFormat="false" ht="15" hidden="false" customHeight="false" outlineLevel="0" collapsed="false">
      <c r="A325" s="23"/>
      <c r="B325" s="23"/>
      <c r="C325" s="23"/>
      <c r="D325" s="23"/>
      <c r="E325" s="23"/>
      <c r="F325" s="23"/>
      <c r="G325" s="23"/>
      <c r="H325" s="23"/>
      <c r="I325" s="23"/>
    </row>
    <row r="326" customFormat="false" ht="15" hidden="false" customHeight="false" outlineLevel="0" collapsed="false">
      <c r="A326" s="23"/>
      <c r="B326" s="23"/>
      <c r="C326" s="23"/>
      <c r="D326" s="23"/>
      <c r="E326" s="23"/>
      <c r="F326" s="23"/>
      <c r="G326" s="23"/>
      <c r="H326" s="23"/>
      <c r="I326" s="23"/>
    </row>
    <row r="327" customFormat="false" ht="15" hidden="false" customHeight="false" outlineLevel="0" collapsed="false">
      <c r="A327" s="23"/>
      <c r="B327" s="23"/>
      <c r="C327" s="23"/>
      <c r="D327" s="23"/>
      <c r="E327" s="23"/>
      <c r="F327" s="23"/>
      <c r="G327" s="23"/>
      <c r="H327" s="23"/>
      <c r="I327" s="23"/>
    </row>
    <row r="328" customFormat="false" ht="15" hidden="false" customHeight="false" outlineLevel="0" collapsed="false">
      <c r="A328" s="23"/>
      <c r="B328" s="23"/>
      <c r="C328" s="23"/>
      <c r="D328" s="23"/>
      <c r="E328" s="23"/>
      <c r="F328" s="23"/>
      <c r="G328" s="23"/>
      <c r="H328" s="23"/>
      <c r="I328" s="23"/>
    </row>
    <row r="329" customFormat="false" ht="15" hidden="false" customHeight="false" outlineLevel="0" collapsed="false">
      <c r="A329" s="23"/>
      <c r="B329" s="23"/>
      <c r="C329" s="23"/>
      <c r="D329" s="23"/>
      <c r="E329" s="23"/>
      <c r="F329" s="23"/>
      <c r="G329" s="23"/>
      <c r="H329" s="23"/>
      <c r="I329" s="23"/>
    </row>
    <row r="330" customFormat="false" ht="15" hidden="false" customHeight="false" outlineLevel="0" collapsed="false">
      <c r="A330" s="23"/>
      <c r="B330" s="23"/>
      <c r="C330" s="23"/>
      <c r="D330" s="23"/>
      <c r="E330" s="23"/>
      <c r="F330" s="23"/>
      <c r="G330" s="23"/>
      <c r="H330" s="23"/>
      <c r="I330" s="23"/>
    </row>
    <row r="331" customFormat="false" ht="15" hidden="false" customHeight="false" outlineLevel="0" collapsed="false">
      <c r="A331" s="23"/>
      <c r="B331" s="23"/>
      <c r="C331" s="23"/>
      <c r="D331" s="23"/>
      <c r="E331" s="23"/>
      <c r="F331" s="23"/>
      <c r="G331" s="23"/>
      <c r="H331" s="23"/>
      <c r="I331" s="23"/>
    </row>
    <row r="332" customFormat="false" ht="15" hidden="false" customHeight="false" outlineLevel="0" collapsed="false">
      <c r="A332" s="23"/>
      <c r="B332" s="23"/>
      <c r="C332" s="23"/>
      <c r="D332" s="23"/>
      <c r="E332" s="23"/>
      <c r="F332" s="23"/>
      <c r="G332" s="23"/>
      <c r="H332" s="23"/>
      <c r="I332" s="23"/>
    </row>
    <row r="333" customFormat="false" ht="15" hidden="false" customHeight="false" outlineLevel="0" collapsed="false">
      <c r="A333" s="23"/>
      <c r="B333" s="23"/>
      <c r="C333" s="23"/>
      <c r="D333" s="23"/>
      <c r="E333" s="23"/>
      <c r="F333" s="23"/>
      <c r="G333" s="23"/>
      <c r="H333" s="23"/>
      <c r="I333" s="23"/>
    </row>
    <row r="334" customFormat="false" ht="15" hidden="false" customHeight="false" outlineLevel="0" collapsed="false">
      <c r="A334" s="23"/>
      <c r="B334" s="23"/>
      <c r="C334" s="23"/>
      <c r="D334" s="23"/>
      <c r="E334" s="23"/>
      <c r="F334" s="23"/>
      <c r="G334" s="23"/>
      <c r="H334" s="23"/>
      <c r="I334" s="23"/>
    </row>
    <row r="335" customFormat="false" ht="15" hidden="false" customHeight="false" outlineLevel="0" collapsed="false">
      <c r="A335" s="23"/>
      <c r="B335" s="23"/>
      <c r="C335" s="23"/>
      <c r="D335" s="23"/>
      <c r="E335" s="23"/>
      <c r="F335" s="23"/>
      <c r="G335" s="23"/>
      <c r="H335" s="23"/>
      <c r="I335" s="23"/>
    </row>
    <row r="336" customFormat="false" ht="15" hidden="false" customHeight="false" outlineLevel="0" collapsed="false">
      <c r="A336" s="23"/>
      <c r="B336" s="23"/>
      <c r="C336" s="23"/>
      <c r="D336" s="23"/>
      <c r="E336" s="23"/>
      <c r="F336" s="23"/>
      <c r="G336" s="23"/>
      <c r="H336" s="23"/>
      <c r="I336" s="23"/>
    </row>
    <row r="337" customFormat="false" ht="15" hidden="false" customHeight="false" outlineLevel="0" collapsed="false">
      <c r="A337" s="23"/>
      <c r="B337" s="23"/>
      <c r="C337" s="23"/>
      <c r="D337" s="23"/>
      <c r="E337" s="23"/>
      <c r="F337" s="23"/>
      <c r="G337" s="23"/>
      <c r="H337" s="23"/>
      <c r="I337" s="23"/>
    </row>
    <row r="338" customFormat="false" ht="15" hidden="false" customHeight="false" outlineLevel="0" collapsed="false">
      <c r="A338" s="23"/>
      <c r="B338" s="23"/>
      <c r="C338" s="23"/>
      <c r="D338" s="23"/>
      <c r="E338" s="23"/>
      <c r="F338" s="23"/>
      <c r="G338" s="23"/>
      <c r="H338" s="23"/>
      <c r="I338" s="23"/>
    </row>
    <row r="339" customFormat="false" ht="15" hidden="false" customHeight="false" outlineLevel="0" collapsed="false">
      <c r="A339" s="23"/>
      <c r="B339" s="23"/>
      <c r="C339" s="23"/>
      <c r="D339" s="23"/>
      <c r="E339" s="23"/>
      <c r="F339" s="23"/>
      <c r="G339" s="23"/>
      <c r="H339" s="23"/>
      <c r="I339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0"/>
    <col collapsed="false" customWidth="true" hidden="false" outlineLevel="0" max="3" min="3" style="0" width="50"/>
  </cols>
  <sheetData>
    <row r="1" customFormat="false" ht="31.5" hidden="false" customHeight="true" outlineLevel="0" collapsed="false">
      <c r="A1" s="7" t="s">
        <v>412</v>
      </c>
      <c r="B1" s="7" t="s">
        <v>413</v>
      </c>
      <c r="C1" s="7" t="s">
        <v>414</v>
      </c>
    </row>
    <row r="2" customFormat="false" ht="30" hidden="false" customHeight="true" outlineLevel="0" collapsed="false">
      <c r="A2" s="24" t="n">
        <v>1</v>
      </c>
      <c r="B2" s="25" t="s">
        <v>415</v>
      </c>
      <c r="C2" s="20"/>
    </row>
    <row r="3" customFormat="false" ht="30" hidden="false" customHeight="true" outlineLevel="0" collapsed="false">
      <c r="A3" s="24" t="n">
        <v>2</v>
      </c>
      <c r="B3" s="25" t="s">
        <v>416</v>
      </c>
      <c r="C3" s="20"/>
    </row>
    <row r="4" customFormat="false" ht="30" hidden="false" customHeight="true" outlineLevel="0" collapsed="false">
      <c r="A4" s="24" t="n">
        <v>3</v>
      </c>
      <c r="B4" s="25" t="s">
        <v>417</v>
      </c>
      <c r="C4" s="20"/>
    </row>
    <row r="5" customFormat="false" ht="30" hidden="false" customHeight="true" outlineLevel="0" collapsed="false">
      <c r="A5" s="24" t="n">
        <v>4</v>
      </c>
      <c r="B5" s="25" t="s">
        <v>418</v>
      </c>
      <c r="C5" s="20"/>
    </row>
    <row r="6" customFormat="false" ht="30" hidden="false" customHeight="true" outlineLevel="0" collapsed="false">
      <c r="A6" s="24" t="n">
        <v>5</v>
      </c>
      <c r="B6" s="25" t="s">
        <v>419</v>
      </c>
      <c r="C6" s="20"/>
    </row>
    <row r="7" customFormat="false" ht="30" hidden="false" customHeight="true" outlineLevel="0" collapsed="false">
      <c r="A7" s="24" t="n">
        <v>6</v>
      </c>
      <c r="B7" s="25" t="s">
        <v>420</v>
      </c>
      <c r="C7" s="20"/>
    </row>
    <row r="8" customFormat="false" ht="30" hidden="false" customHeight="true" outlineLevel="0" collapsed="false">
      <c r="A8" s="24" t="n">
        <v>7</v>
      </c>
      <c r="B8" s="25" t="s">
        <v>421</v>
      </c>
      <c r="C8" s="20"/>
    </row>
    <row r="9" customFormat="false" ht="30" hidden="false" customHeight="true" outlineLevel="0" collapsed="false">
      <c r="A9" s="24" t="n">
        <v>8</v>
      </c>
      <c r="B9" s="25" t="s">
        <v>422</v>
      </c>
      <c r="C9" s="20"/>
    </row>
    <row r="10" customFormat="false" ht="30" hidden="false" customHeight="true" outlineLevel="0" collapsed="false">
      <c r="A10" s="24" t="n">
        <v>9</v>
      </c>
      <c r="B10" s="25" t="s">
        <v>423</v>
      </c>
      <c r="C10" s="20"/>
    </row>
    <row r="11" customFormat="false" ht="30" hidden="false" customHeight="true" outlineLevel="0" collapsed="false">
      <c r="A11" s="24" t="n">
        <v>10</v>
      </c>
      <c r="B11" s="25" t="s">
        <v>424</v>
      </c>
      <c r="C1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46"/>
  </cols>
  <sheetData>
    <row r="1" customFormat="false" ht="15" hidden="false" customHeight="false" outlineLevel="0" collapsed="false">
      <c r="A1" s="14" t="s">
        <v>425</v>
      </c>
      <c r="B1" s="14" t="s">
        <v>214</v>
      </c>
      <c r="C1" s="14" t="s">
        <v>216</v>
      </c>
    </row>
    <row r="2" customFormat="false" ht="15" hidden="false" customHeight="false" outlineLevel="0" collapsed="false">
      <c r="A2" s="26" t="s">
        <v>32</v>
      </c>
      <c r="B2" s="26" t="s">
        <v>320</v>
      </c>
      <c r="C2" s="26" t="s">
        <v>220</v>
      </c>
    </row>
    <row r="3" customFormat="false" ht="15" hidden="false" customHeight="false" outlineLevel="0" collapsed="false">
      <c r="A3" s="26" t="s">
        <v>40</v>
      </c>
      <c r="B3" s="26" t="s">
        <v>224</v>
      </c>
      <c r="C3" s="26" t="s">
        <v>236</v>
      </c>
    </row>
    <row r="4" customFormat="false" ht="15" hidden="false" customHeight="false" outlineLevel="0" collapsed="false">
      <c r="A4" s="26" t="s">
        <v>44</v>
      </c>
      <c r="B4" s="26" t="s">
        <v>292</v>
      </c>
      <c r="C4" s="26" t="s">
        <v>248</v>
      </c>
    </row>
    <row r="5" customFormat="false" ht="15" hidden="false" customHeight="false" outlineLevel="0" collapsed="false">
      <c r="A5" s="26" t="s">
        <v>49</v>
      </c>
      <c r="B5" s="26" t="s">
        <v>274</v>
      </c>
      <c r="C5" s="26" t="s">
        <v>242</v>
      </c>
    </row>
    <row r="6" customFormat="false" ht="15" hidden="false" customHeight="false" outlineLevel="0" collapsed="false">
      <c r="A6" s="26" t="s">
        <v>54</v>
      </c>
      <c r="B6" s="26" t="s">
        <v>226</v>
      </c>
      <c r="C6" s="26" t="s">
        <v>426</v>
      </c>
    </row>
    <row r="7" customFormat="false" ht="15" hidden="false" customHeight="false" outlineLevel="0" collapsed="false">
      <c r="A7" s="26" t="s">
        <v>61</v>
      </c>
      <c r="B7" s="26" t="s">
        <v>250</v>
      </c>
      <c r="C7" s="26" t="s">
        <v>253</v>
      </c>
    </row>
    <row r="8" customFormat="false" ht="15" hidden="false" customHeight="false" outlineLevel="0" collapsed="false">
      <c r="A8" s="26" t="s">
        <v>65</v>
      </c>
      <c r="B8" s="26" t="s">
        <v>249</v>
      </c>
      <c r="C8" s="26" t="s">
        <v>427</v>
      </c>
    </row>
    <row r="9" customFormat="false" ht="15" hidden="false" customHeight="false" outlineLevel="0" collapsed="false">
      <c r="A9" s="26" t="s">
        <v>68</v>
      </c>
      <c r="B9" s="26" t="s">
        <v>265</v>
      </c>
      <c r="C9" s="26" t="s">
        <v>428</v>
      </c>
    </row>
    <row r="10" customFormat="false" ht="15" hidden="false" customHeight="false" outlineLevel="0" collapsed="false">
      <c r="A10" s="26" t="s">
        <v>73</v>
      </c>
      <c r="B10" s="26" t="s">
        <v>257</v>
      </c>
      <c r="C10" s="26" t="s">
        <v>429</v>
      </c>
    </row>
    <row r="11" customFormat="false" ht="15" hidden="false" customHeight="false" outlineLevel="0" collapsed="false">
      <c r="A11" s="26" t="s">
        <v>77</v>
      </c>
      <c r="B11" s="26" t="s">
        <v>271</v>
      </c>
    </row>
    <row r="12" customFormat="false" ht="15" hidden="false" customHeight="false" outlineLevel="0" collapsed="false">
      <c r="A12" s="26" t="s">
        <v>81</v>
      </c>
      <c r="B12" s="26" t="s">
        <v>228</v>
      </c>
    </row>
    <row r="13" customFormat="false" ht="15" hidden="false" customHeight="false" outlineLevel="0" collapsed="false">
      <c r="A13" s="26" t="s">
        <v>86</v>
      </c>
      <c r="B13" s="26" t="s">
        <v>324</v>
      </c>
    </row>
    <row r="14" customFormat="false" ht="15" hidden="false" customHeight="false" outlineLevel="0" collapsed="false">
      <c r="A14" s="26" t="s">
        <v>89</v>
      </c>
      <c r="B14" s="26" t="s">
        <v>263</v>
      </c>
    </row>
    <row r="15" customFormat="false" ht="15" hidden="false" customHeight="false" outlineLevel="0" collapsed="false">
      <c r="A15" s="26" t="s">
        <v>92</v>
      </c>
      <c r="B15" s="26" t="s">
        <v>247</v>
      </c>
    </row>
    <row r="16" customFormat="false" ht="15" hidden="false" customHeight="false" outlineLevel="0" collapsed="false">
      <c r="A16" s="26" t="s">
        <v>96</v>
      </c>
      <c r="B16" s="26" t="s">
        <v>245</v>
      </c>
    </row>
    <row r="17" customFormat="false" ht="15" hidden="false" customHeight="false" outlineLevel="0" collapsed="false">
      <c r="A17" s="26" t="s">
        <v>99</v>
      </c>
      <c r="B17" s="26" t="s">
        <v>241</v>
      </c>
    </row>
    <row r="18" customFormat="false" ht="15" hidden="false" customHeight="false" outlineLevel="0" collapsed="false">
      <c r="A18" s="26" t="s">
        <v>101</v>
      </c>
      <c r="B18" s="26" t="s">
        <v>219</v>
      </c>
    </row>
    <row r="19" customFormat="false" ht="15" hidden="false" customHeight="false" outlineLevel="0" collapsed="false">
      <c r="A19" s="26" t="s">
        <v>103</v>
      </c>
      <c r="B19" s="26" t="s">
        <v>294</v>
      </c>
    </row>
    <row r="20" customFormat="false" ht="15" hidden="false" customHeight="false" outlineLevel="0" collapsed="false">
      <c r="A20" s="26" t="s">
        <v>106</v>
      </c>
      <c r="B20" s="26" t="s">
        <v>276</v>
      </c>
    </row>
    <row r="21" customFormat="false" ht="15" hidden="false" customHeight="false" outlineLevel="0" collapsed="false">
      <c r="A21" s="26" t="s">
        <v>109</v>
      </c>
      <c r="B21" s="26" t="s">
        <v>260</v>
      </c>
    </row>
    <row r="22" customFormat="false" ht="15" hidden="false" customHeight="false" outlineLevel="0" collapsed="false">
      <c r="A22" s="26" t="s">
        <v>114</v>
      </c>
      <c r="B22" s="26" t="s">
        <v>322</v>
      </c>
    </row>
    <row r="23" customFormat="false" ht="15" hidden="false" customHeight="false" outlineLevel="0" collapsed="false">
      <c r="A23" s="26" t="s">
        <v>116</v>
      </c>
      <c r="B23" s="26" t="s">
        <v>323</v>
      </c>
    </row>
    <row r="24" customFormat="false" ht="15" hidden="false" customHeight="false" outlineLevel="0" collapsed="false">
      <c r="A24" s="26" t="s">
        <v>118</v>
      </c>
      <c r="B24" s="26" t="s">
        <v>239</v>
      </c>
    </row>
    <row r="25" customFormat="false" ht="15" hidden="false" customHeight="false" outlineLevel="0" collapsed="false">
      <c r="A25" s="26" t="s">
        <v>122</v>
      </c>
      <c r="B25" s="26" t="s">
        <v>277</v>
      </c>
    </row>
    <row r="26" customFormat="false" ht="15" hidden="false" customHeight="false" outlineLevel="0" collapsed="false">
      <c r="A26" s="26" t="s">
        <v>125</v>
      </c>
      <c r="B26" s="26" t="s">
        <v>280</v>
      </c>
    </row>
    <row r="27" customFormat="false" ht="15" hidden="false" customHeight="false" outlineLevel="0" collapsed="false">
      <c r="A27" s="26" t="s">
        <v>129</v>
      </c>
      <c r="B27" s="26" t="s">
        <v>310</v>
      </c>
    </row>
    <row r="28" customFormat="false" ht="15" hidden="false" customHeight="false" outlineLevel="0" collapsed="false">
      <c r="A28" s="26" t="s">
        <v>132</v>
      </c>
      <c r="B28" s="26" t="s">
        <v>252</v>
      </c>
    </row>
    <row r="29" customFormat="false" ht="15" hidden="false" customHeight="false" outlineLevel="0" collapsed="false">
      <c r="A29" s="26" t="s">
        <v>133</v>
      </c>
      <c r="B29" s="26" t="s">
        <v>235</v>
      </c>
    </row>
    <row r="30" customFormat="false" ht="15" hidden="false" customHeight="false" outlineLevel="0" collapsed="false">
      <c r="A30" s="26" t="s">
        <v>135</v>
      </c>
      <c r="B30" s="26" t="s">
        <v>266</v>
      </c>
    </row>
    <row r="31" customFormat="false" ht="15" hidden="false" customHeight="false" outlineLevel="0" collapsed="false">
      <c r="A31" s="26" t="s">
        <v>140</v>
      </c>
    </row>
    <row r="32" customFormat="false" ht="15" hidden="false" customHeight="false" outlineLevel="0" collapsed="false">
      <c r="A32" s="26" t="s">
        <v>142</v>
      </c>
    </row>
    <row r="33" customFormat="false" ht="15" hidden="false" customHeight="false" outlineLevel="0" collapsed="false">
      <c r="A33" s="26" t="s">
        <v>144</v>
      </c>
    </row>
    <row r="34" customFormat="false" ht="15" hidden="false" customHeight="false" outlineLevel="0" collapsed="false">
      <c r="A34" s="26" t="s">
        <v>146</v>
      </c>
    </row>
    <row r="35" customFormat="false" ht="15" hidden="false" customHeight="false" outlineLevel="0" collapsed="false">
      <c r="A35" s="26" t="s">
        <v>148</v>
      </c>
    </row>
    <row r="36" customFormat="false" ht="15" hidden="false" customHeight="false" outlineLevel="0" collapsed="false">
      <c r="A36" s="26" t="s">
        <v>154</v>
      </c>
    </row>
    <row r="37" customFormat="false" ht="15" hidden="false" customHeight="false" outlineLevel="0" collapsed="false">
      <c r="A37" s="26" t="s">
        <v>157</v>
      </c>
    </row>
    <row r="38" customFormat="false" ht="15" hidden="false" customHeight="false" outlineLevel="0" collapsed="false">
      <c r="A38" s="26" t="s">
        <v>160</v>
      </c>
    </row>
    <row r="39" customFormat="false" ht="15" hidden="false" customHeight="false" outlineLevel="0" collapsed="false">
      <c r="A39" s="26" t="s">
        <v>163</v>
      </c>
    </row>
    <row r="40" customFormat="false" ht="15" hidden="false" customHeight="false" outlineLevel="0" collapsed="false">
      <c r="A40" s="26" t="s">
        <v>270</v>
      </c>
    </row>
    <row r="41" customFormat="false" ht="15" hidden="false" customHeight="false" outlineLevel="0" collapsed="false">
      <c r="A41" s="26" t="s">
        <v>279</v>
      </c>
    </row>
    <row r="42" customFormat="false" ht="15" hidden="false" customHeight="false" outlineLevel="0" collapsed="false">
      <c r="A42" s="26" t="s">
        <v>282</v>
      </c>
    </row>
    <row r="43" customFormat="false" ht="15" hidden="false" customHeight="false" outlineLevel="0" collapsed="false">
      <c r="A43" s="26" t="s">
        <v>284</v>
      </c>
    </row>
    <row r="44" customFormat="false" ht="15" hidden="false" customHeight="false" outlineLevel="0" collapsed="false">
      <c r="A44" s="26" t="s">
        <v>286</v>
      </c>
    </row>
    <row r="45" customFormat="false" ht="15" hidden="false" customHeight="false" outlineLevel="0" collapsed="false">
      <c r="A45" s="26" t="s">
        <v>289</v>
      </c>
    </row>
    <row r="46" customFormat="false" ht="15" hidden="false" customHeight="false" outlineLevel="0" collapsed="false">
      <c r="A46" s="26" t="s">
        <v>290</v>
      </c>
    </row>
    <row r="47" customFormat="false" ht="15" hidden="false" customHeight="false" outlineLevel="0" collapsed="false">
      <c r="A47" s="26" t="s">
        <v>298</v>
      </c>
    </row>
    <row r="48" customFormat="false" ht="15" hidden="false" customHeight="false" outlineLevel="0" collapsed="false">
      <c r="A48" s="26" t="s">
        <v>299</v>
      </c>
    </row>
    <row r="49" customFormat="false" ht="15" hidden="false" customHeight="false" outlineLevel="0" collapsed="false">
      <c r="A49" s="26" t="s">
        <v>301</v>
      </c>
    </row>
    <row r="50" customFormat="false" ht="15" hidden="false" customHeight="false" outlineLevel="0" collapsed="false">
      <c r="A50" s="26" t="s">
        <v>303</v>
      </c>
    </row>
    <row r="51" customFormat="false" ht="15" hidden="false" customHeight="false" outlineLevel="0" collapsed="false">
      <c r="A51" s="26" t="s">
        <v>307</v>
      </c>
    </row>
    <row r="52" customFormat="false" ht="15" hidden="false" customHeight="false" outlineLevel="0" collapsed="false">
      <c r="A52" s="26" t="s">
        <v>309</v>
      </c>
    </row>
    <row r="53" customFormat="false" ht="15" hidden="false" customHeight="false" outlineLevel="0" collapsed="false">
      <c r="A53" s="26" t="s">
        <v>312</v>
      </c>
    </row>
    <row r="54" customFormat="false" ht="15" hidden="false" customHeight="false" outlineLevel="0" collapsed="false">
      <c r="A54" s="26" t="s">
        <v>313</v>
      </c>
    </row>
    <row r="55" customFormat="false" ht="15" hidden="false" customHeight="false" outlineLevel="0" collapsed="false">
      <c r="A55" s="26" t="s">
        <v>314</v>
      </c>
    </row>
    <row r="56" customFormat="false" ht="15" hidden="false" customHeight="false" outlineLevel="0" collapsed="false">
      <c r="A56" s="26" t="s">
        <v>315</v>
      </c>
    </row>
    <row r="57" customFormat="false" ht="15" hidden="false" customHeight="false" outlineLevel="0" collapsed="false">
      <c r="A57" s="26" t="s">
        <v>316</v>
      </c>
    </row>
    <row r="58" customFormat="false" ht="15" hidden="false" customHeight="false" outlineLevel="0" collapsed="false">
      <c r="A58" s="26" t="s">
        <v>317</v>
      </c>
    </row>
    <row r="59" customFormat="false" ht="15" hidden="false" customHeight="false" outlineLevel="0" collapsed="false">
      <c r="A59" s="26" t="s">
        <v>319</v>
      </c>
    </row>
    <row r="60" customFormat="false" ht="15" hidden="false" customHeight="false" outlineLevel="0" collapsed="false">
      <c r="A60" s="26" t="s">
        <v>325</v>
      </c>
    </row>
    <row r="61" customFormat="false" ht="15" hidden="false" customHeight="false" outlineLevel="0" collapsed="false">
      <c r="A61" s="26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2026-10-23T21:23:49Z</dcterms:created>
  <dc:creator>openpyxl</dc:creator>
  <dc:description/>
  <dc:language>en-US</dc:language>
  <cp:lastModifiedBy/>
  <dcterms:modified xsi:type="dcterms:W3CDTF">2026-10-23T21:23:49Z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